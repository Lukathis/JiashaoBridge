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/>
  <bookViews>
    <workbookView xWindow="0" yWindow="120" windowWidth="19200" windowHeight="11610" activeTab="3"/>
  </bookViews>
  <sheets>
    <sheet name="目录" sheetId="7" r:id="rId1"/>
    <sheet name="主梁截面统计" sheetId="1" r:id="rId2"/>
    <sheet name="桥塔截面统计" sheetId="2" r:id="rId3"/>
    <sheet name="斜拉锁截面统计" sheetId="3" r:id="rId4"/>
    <sheet name="主梁坐标" sheetId="4" r:id="rId5"/>
    <sheet name="主塔坐标" sheetId="5" r:id="rId6"/>
    <sheet name="主要截面特性" sheetId="6" r:id="rId7"/>
  </sheets>
  <definedNames>
    <definedName name="工作表名">INDEX(GET.WORKBOOK(1),目录!$B1)&amp;T(NOW())</definedName>
  </definedNames>
  <calcPr calcId="145621"/>
</workbook>
</file>

<file path=xl/calcChain.xml><?xml version="1.0" encoding="utf-8"?>
<calcChain xmlns="http://schemas.openxmlformats.org/spreadsheetml/2006/main">
  <c r="E64" i="7" l="1"/>
  <c r="C236" i="7"/>
  <c r="C28" i="7"/>
  <c r="C111" i="7"/>
  <c r="C14" i="7"/>
  <c r="C217" i="7"/>
  <c r="C270" i="7"/>
  <c r="C22" i="7"/>
  <c r="C228" i="7"/>
  <c r="C20" i="7"/>
  <c r="C103" i="7"/>
  <c r="C232" i="7"/>
  <c r="C197" i="7"/>
  <c r="C92" i="7"/>
  <c r="C130" i="7"/>
  <c r="C161" i="7"/>
  <c r="C173" i="7"/>
  <c r="C259" i="7"/>
  <c r="C57" i="7"/>
  <c r="C134" i="7"/>
  <c r="C26" i="7"/>
  <c r="C268" i="7"/>
  <c r="C60" i="7"/>
  <c r="C143" i="7"/>
  <c r="C237" i="7"/>
  <c r="C260" i="7"/>
  <c r="C52" i="7"/>
  <c r="C135" i="7"/>
  <c r="C193" i="7"/>
  <c r="C3" i="7"/>
  <c r="C63" i="7"/>
  <c r="C162" i="7"/>
  <c r="C238" i="7"/>
  <c r="C229" i="7"/>
  <c r="C189" i="7"/>
  <c r="C163" i="7"/>
  <c r="C247" i="7"/>
  <c r="C37" i="7"/>
  <c r="C18" i="7"/>
  <c r="C172" i="7"/>
  <c r="C274" i="7"/>
  <c r="C48" i="7"/>
  <c r="C34" i="7"/>
  <c r="C59" i="7"/>
  <c r="C142" i="7"/>
  <c r="C19" i="7"/>
  <c r="C164" i="7"/>
  <c r="C266" i="7"/>
  <c r="C40" i="7"/>
  <c r="C249" i="7"/>
  <c r="C30" i="7"/>
  <c r="C31" i="7"/>
  <c r="C66" i="7"/>
  <c r="C289" i="7"/>
  <c r="C136" i="7"/>
  <c r="C195" i="7"/>
  <c r="C279" i="7"/>
  <c r="C70" i="7"/>
  <c r="C117" i="7"/>
  <c r="C204" i="7"/>
  <c r="C25" i="7"/>
  <c r="C79" i="7"/>
  <c r="C105" i="7"/>
  <c r="C196" i="7"/>
  <c r="C298" i="7"/>
  <c r="C71" i="7"/>
  <c r="C185" i="7"/>
  <c r="C112" i="7"/>
  <c r="C299" i="7"/>
  <c r="C98" i="7"/>
  <c r="C174" i="7"/>
  <c r="C35" i="7"/>
  <c r="C27" i="7"/>
  <c r="C99" i="7"/>
  <c r="C183" i="7"/>
  <c r="C269" i="7"/>
  <c r="C88" i="7"/>
  <c r="C245" i="7"/>
  <c r="C115" i="7"/>
  <c r="C124" i="7"/>
  <c r="C109" i="7"/>
  <c r="C201" i="7"/>
  <c r="C108" i="7"/>
  <c r="C210" i="7"/>
  <c r="C286" i="7"/>
  <c r="C192" i="7"/>
  <c r="C58" i="7"/>
  <c r="C13" i="7"/>
  <c r="C296" i="7"/>
  <c r="C100" i="7"/>
  <c r="C202" i="7"/>
  <c r="C278" i="7"/>
  <c r="C169" i="7"/>
  <c r="C51" i="7"/>
  <c r="C203" i="7"/>
  <c r="C223" i="7"/>
  <c r="C137" i="7"/>
  <c r="C125" i="7"/>
  <c r="C131" i="7"/>
  <c r="C215" i="7"/>
  <c r="C5" i="7"/>
  <c r="C221" i="7"/>
  <c r="C140" i="7"/>
  <c r="C242" i="7"/>
  <c r="C16" i="7"/>
  <c r="C145" i="7"/>
  <c r="C132" i="7"/>
  <c r="C234" i="7"/>
  <c r="C8" i="7"/>
  <c r="C264" i="7"/>
  <c r="C129" i="7"/>
  <c r="C235" i="7"/>
  <c r="C33" i="7"/>
  <c r="C110" i="7"/>
  <c r="C224" i="7"/>
  <c r="C244" i="7"/>
  <c r="C36" i="7"/>
  <c r="C119" i="7"/>
  <c r="C65" i="7"/>
  <c r="C205" i="7"/>
  <c r="C153" i="7"/>
  <c r="C190" i="7"/>
  <c r="C7" i="7"/>
  <c r="C182" i="7"/>
  <c r="C101" i="7"/>
  <c r="C191" i="7"/>
  <c r="C157" i="7"/>
  <c r="C218" i="7"/>
  <c r="C213" i="7"/>
  <c r="C240" i="7"/>
  <c r="C262" i="7"/>
  <c r="C61" i="7"/>
  <c r="C263" i="7"/>
  <c r="C188" i="7"/>
  <c r="C144" i="7"/>
  <c r="C90" i="7"/>
  <c r="C175" i="7"/>
  <c r="C261" i="7"/>
  <c r="C176" i="7"/>
  <c r="C167" i="7"/>
  <c r="C156" i="7"/>
  <c r="C23" i="7"/>
  <c r="C209" i="7"/>
  <c r="C207" i="7"/>
  <c r="C199" i="7"/>
  <c r="C226" i="7"/>
  <c r="C227" i="7"/>
  <c r="C47" i="7"/>
  <c r="C146" i="7"/>
  <c r="C222" i="7"/>
  <c r="C120" i="7"/>
  <c r="C42" i="7"/>
  <c r="C168" i="7"/>
  <c r="C96" i="7"/>
  <c r="C39" i="7"/>
  <c r="C138" i="7"/>
  <c r="C214" i="7"/>
  <c r="C54" i="7"/>
  <c r="C6" i="7"/>
  <c r="C139" i="7"/>
  <c r="C159" i="7"/>
  <c r="C72" i="7"/>
  <c r="C276" i="7"/>
  <c r="C67" i="7"/>
  <c r="C151" i="7"/>
  <c r="C297" i="7"/>
  <c r="C38" i="7"/>
  <c r="C76" i="7"/>
  <c r="C178" i="7"/>
  <c r="C254" i="7"/>
  <c r="C280" i="7"/>
  <c r="C68" i="7"/>
  <c r="C170" i="7"/>
  <c r="C246" i="7"/>
  <c r="C85" i="7"/>
  <c r="C257" i="7"/>
  <c r="C171" i="7"/>
  <c r="C255" i="7"/>
  <c r="C45" i="7"/>
  <c r="C46" i="7"/>
  <c r="C180" i="7"/>
  <c r="C282" i="7"/>
  <c r="C56" i="7"/>
  <c r="C80" i="7"/>
  <c r="C283" i="7"/>
  <c r="C82" i="7"/>
  <c r="C158" i="7"/>
  <c r="C62" i="7"/>
  <c r="C184" i="7"/>
  <c r="C149" i="7"/>
  <c r="C133" i="7"/>
  <c r="C275" i="7"/>
  <c r="C74" i="7"/>
  <c r="C150" i="7"/>
  <c r="C97" i="7"/>
  <c r="C75" i="7"/>
  <c r="C32" i="7"/>
  <c r="C265" i="7"/>
  <c r="C212" i="7"/>
  <c r="C4" i="7"/>
  <c r="C87" i="7"/>
  <c r="C104" i="7"/>
  <c r="C15" i="7"/>
  <c r="C114" i="7"/>
  <c r="C10" i="7"/>
  <c r="C106" i="7"/>
  <c r="C81" i="7"/>
  <c r="C107" i="7"/>
  <c r="C277" i="7"/>
  <c r="C116" i="7"/>
  <c r="C294" i="7"/>
  <c r="C241" i="7"/>
  <c r="C258" i="7"/>
  <c r="C84" i="7"/>
  <c r="C128" i="7"/>
  <c r="C187" i="7"/>
  <c r="C69" i="7"/>
  <c r="C53" i="7"/>
  <c r="C290" i="7"/>
  <c r="C89" i="7"/>
  <c r="C166" i="7"/>
  <c r="C300" i="7"/>
  <c r="C95" i="7"/>
  <c r="C83" i="7"/>
  <c r="C93" i="7"/>
  <c r="C200" i="7"/>
  <c r="C198" i="7"/>
  <c r="C123" i="7"/>
  <c r="C281" i="7"/>
  <c r="C177" i="7"/>
  <c r="C233" i="7"/>
  <c r="C102" i="7"/>
  <c r="C219" i="7"/>
  <c r="C9" i="7"/>
  <c r="C94" i="7"/>
  <c r="C181" i="7"/>
  <c r="C267" i="7"/>
  <c r="C141" i="7"/>
  <c r="C121" i="7"/>
  <c r="C211" i="7"/>
  <c r="C295" i="7"/>
  <c r="C86" i="7"/>
  <c r="C160" i="7"/>
  <c r="C284" i="7"/>
  <c r="C12" i="7"/>
  <c r="C206" i="7"/>
  <c r="C256" i="7"/>
  <c r="C148" i="7"/>
  <c r="C250" i="7"/>
  <c r="C24" i="7"/>
  <c r="C77" i="7"/>
  <c r="C216" i="7"/>
  <c r="C251" i="7"/>
  <c r="C49" i="7"/>
  <c r="C126" i="7"/>
  <c r="C43" i="7"/>
  <c r="C243" i="7"/>
  <c r="C41" i="7"/>
  <c r="C118" i="7"/>
  <c r="C248" i="7"/>
  <c r="C252" i="7"/>
  <c r="C44" i="7"/>
  <c r="C127" i="7"/>
  <c r="C152" i="7"/>
  <c r="C272" i="7"/>
  <c r="C55" i="7"/>
  <c r="C154" i="7"/>
  <c r="C230" i="7"/>
  <c r="C225" i="7"/>
  <c r="C155" i="7"/>
  <c r="C239" i="7"/>
  <c r="C29" i="7"/>
  <c r="C11" i="7"/>
  <c r="C287" i="7"/>
  <c r="C147" i="7"/>
  <c r="C231" i="7"/>
  <c r="C21" i="7"/>
  <c r="C273" i="7"/>
  <c r="C220" i="7"/>
  <c r="C78" i="7"/>
  <c r="C288" i="7"/>
  <c r="C186" i="7"/>
  <c r="C50" i="7"/>
  <c r="C271" i="7"/>
  <c r="C179" i="7"/>
  <c r="C73" i="7"/>
  <c r="C64" i="7"/>
  <c r="C291" i="7"/>
  <c r="C208" i="7"/>
  <c r="C91" i="7"/>
  <c r="C113" i="7"/>
  <c r="C292" i="7"/>
  <c r="C253" i="7"/>
  <c r="C194" i="7"/>
  <c r="C122" i="7"/>
  <c r="C165" i="7"/>
  <c r="C293" i="7"/>
  <c r="C285" i="7"/>
  <c r="C2" i="7"/>
  <c r="C17" i="7"/>
  <c r="D19" i="7" l="1"/>
  <c r="E19" i="7" s="1"/>
  <c r="D27" i="7"/>
  <c r="E27" i="7" s="1"/>
  <c r="D6" i="7"/>
  <c r="E6" i="7" s="1"/>
  <c r="D42" i="7"/>
  <c r="E42" i="7" s="1"/>
  <c r="D43" i="7"/>
  <c r="E43" i="7" s="1"/>
  <c r="D50" i="7"/>
  <c r="E50" i="7" s="1"/>
  <c r="D22" i="7"/>
  <c r="E22" i="7" s="1"/>
  <c r="D51" i="7"/>
  <c r="E51" i="7" s="1"/>
  <c r="D58" i="7"/>
  <c r="E58" i="7" s="1"/>
  <c r="D30" i="7"/>
  <c r="E30" i="7" s="1"/>
  <c r="D59" i="7"/>
  <c r="E59" i="7" s="1"/>
  <c r="D3" i="7"/>
  <c r="E3" i="7" s="1"/>
  <c r="D10" i="7"/>
  <c r="E10" i="7" s="1"/>
  <c r="D38" i="7"/>
  <c r="E38" i="7" s="1"/>
  <c r="D11" i="7"/>
  <c r="E11" i="7" s="1"/>
  <c r="D18" i="7"/>
  <c r="E18" i="7" s="1"/>
  <c r="D46" i="7"/>
  <c r="E46" i="7" s="1"/>
  <c r="D26" i="7"/>
  <c r="E26" i="7" s="1"/>
  <c r="D62" i="7"/>
  <c r="E62" i="7" s="1"/>
  <c r="D35" i="7"/>
  <c r="E35" i="7" s="1"/>
  <c r="D54" i="7"/>
  <c r="E54" i="7" s="1"/>
  <c r="D34" i="7"/>
  <c r="E34" i="7" s="1"/>
  <c r="D14" i="7"/>
  <c r="E14" i="7" s="1"/>
  <c r="D5" i="7"/>
  <c r="E5" i="7" s="1"/>
  <c r="D13" i="7"/>
  <c r="E13" i="7" s="1"/>
  <c r="D21" i="7"/>
  <c r="E21" i="7" s="1"/>
  <c r="D29" i="7"/>
  <c r="E29" i="7" s="1"/>
  <c r="D37" i="7"/>
  <c r="E37" i="7" s="1"/>
  <c r="D45" i="7"/>
  <c r="E45" i="7" s="1"/>
  <c r="D53" i="7"/>
  <c r="E53" i="7" s="1"/>
  <c r="D61" i="7"/>
  <c r="E61" i="7" s="1"/>
  <c r="D8" i="7"/>
  <c r="E8" i="7" s="1"/>
  <c r="D16" i="7"/>
  <c r="E16" i="7" s="1"/>
  <c r="D24" i="7"/>
  <c r="E24" i="7" s="1"/>
  <c r="D32" i="7"/>
  <c r="E32" i="7" s="1"/>
  <c r="D40" i="7"/>
  <c r="E40" i="7" s="1"/>
  <c r="D48" i="7"/>
  <c r="E48" i="7" s="1"/>
  <c r="D56" i="7"/>
  <c r="E56" i="7" s="1"/>
  <c r="D9" i="7"/>
  <c r="E9" i="7" s="1"/>
  <c r="D17" i="7"/>
  <c r="E17" i="7" s="1"/>
  <c r="D33" i="7"/>
  <c r="E33" i="7" s="1"/>
  <c r="D41" i="7"/>
  <c r="E41" i="7" s="1"/>
  <c r="D49" i="7"/>
  <c r="E49" i="7" s="1"/>
  <c r="D57" i="7"/>
  <c r="E57" i="7" s="1"/>
  <c r="D25" i="7"/>
  <c r="E25" i="7" s="1"/>
  <c r="D4" i="7"/>
  <c r="E4" i="7" s="1"/>
  <c r="D12" i="7"/>
  <c r="E12" i="7" s="1"/>
  <c r="D20" i="7"/>
  <c r="E20" i="7" s="1"/>
  <c r="D28" i="7"/>
  <c r="E28" i="7" s="1"/>
  <c r="D36" i="7"/>
  <c r="E36" i="7" s="1"/>
  <c r="D44" i="7"/>
  <c r="E44" i="7" s="1"/>
  <c r="D52" i="7"/>
  <c r="E52" i="7" s="1"/>
  <c r="D60" i="7"/>
  <c r="E60" i="7" s="1"/>
  <c r="D7" i="7"/>
  <c r="E7" i="7" s="1"/>
  <c r="D15" i="7"/>
  <c r="E15" i="7" s="1"/>
  <c r="D23" i="7"/>
  <c r="E23" i="7" s="1"/>
  <c r="D31" i="7"/>
  <c r="E31" i="7" s="1"/>
  <c r="D39" i="7"/>
  <c r="E39" i="7" s="1"/>
  <c r="D47" i="7"/>
  <c r="E47" i="7" s="1"/>
  <c r="D55" i="7"/>
  <c r="E55" i="7" s="1"/>
  <c r="D63" i="7"/>
  <c r="E63" i="7" s="1"/>
  <c r="AX4" i="1" l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J366" i="4" l="1"/>
  <c r="O49" i="3"/>
  <c r="K49" i="3"/>
  <c r="G49" i="3"/>
  <c r="C49" i="3"/>
  <c r="O48" i="3"/>
  <c r="K48" i="3"/>
  <c r="G48" i="3"/>
  <c r="C48" i="3"/>
  <c r="O47" i="3"/>
  <c r="K47" i="3"/>
  <c r="G47" i="3"/>
  <c r="C47" i="3"/>
  <c r="O46" i="3"/>
  <c r="K46" i="3"/>
  <c r="G46" i="3"/>
  <c r="C46" i="3"/>
  <c r="O45" i="3"/>
  <c r="K45" i="3"/>
  <c r="G45" i="3"/>
  <c r="C45" i="3"/>
  <c r="O44" i="3"/>
  <c r="K44" i="3"/>
  <c r="G44" i="3"/>
  <c r="C44" i="3"/>
  <c r="O43" i="3"/>
  <c r="K43" i="3"/>
  <c r="G43" i="3"/>
  <c r="C43" i="3"/>
  <c r="O42" i="3"/>
  <c r="K42" i="3"/>
  <c r="G42" i="3"/>
  <c r="C42" i="3"/>
  <c r="O41" i="3"/>
  <c r="K41" i="3"/>
  <c r="G41" i="3"/>
  <c r="C41" i="3"/>
  <c r="O40" i="3"/>
  <c r="K40" i="3"/>
  <c r="G40" i="3"/>
  <c r="C40" i="3"/>
  <c r="O39" i="3"/>
  <c r="K39" i="3"/>
  <c r="G39" i="3"/>
  <c r="C39" i="3"/>
  <c r="O38" i="3"/>
  <c r="K38" i="3"/>
  <c r="G38" i="3"/>
  <c r="C38" i="3"/>
  <c r="O37" i="3"/>
  <c r="K37" i="3"/>
  <c r="G37" i="3"/>
  <c r="C37" i="3"/>
  <c r="O36" i="3"/>
  <c r="K36" i="3"/>
  <c r="G36" i="3"/>
  <c r="C36" i="3"/>
  <c r="O35" i="3"/>
  <c r="K35" i="3"/>
  <c r="G35" i="3"/>
  <c r="C35" i="3"/>
  <c r="O34" i="3"/>
  <c r="K34" i="3"/>
  <c r="G34" i="3"/>
  <c r="C34" i="3"/>
  <c r="O33" i="3"/>
  <c r="K33" i="3"/>
  <c r="G33" i="3"/>
  <c r="C33" i="3"/>
  <c r="O32" i="3"/>
  <c r="K32" i="3"/>
  <c r="G32" i="3"/>
  <c r="C32" i="3"/>
  <c r="O31" i="3"/>
  <c r="K31" i="3"/>
  <c r="G31" i="3"/>
  <c r="C31" i="3"/>
  <c r="O30" i="3"/>
  <c r="K30" i="3"/>
  <c r="G30" i="3"/>
  <c r="C30" i="3"/>
  <c r="O29" i="3"/>
  <c r="K29" i="3"/>
  <c r="G29" i="3"/>
  <c r="C29" i="3"/>
  <c r="O28" i="3"/>
  <c r="K28" i="3"/>
  <c r="G28" i="3"/>
  <c r="C28" i="3"/>
  <c r="O27" i="3"/>
  <c r="K27" i="3"/>
  <c r="G27" i="3"/>
  <c r="C27" i="3"/>
  <c r="O26" i="3"/>
  <c r="K26" i="3"/>
  <c r="G26" i="3"/>
  <c r="C26" i="3"/>
  <c r="P25" i="3"/>
  <c r="O25" i="3"/>
  <c r="L25" i="3"/>
  <c r="K25" i="3"/>
  <c r="H25" i="3"/>
  <c r="G25" i="3"/>
  <c r="D25" i="3"/>
  <c r="C25" i="3"/>
  <c r="P24" i="3"/>
  <c r="O24" i="3"/>
  <c r="L24" i="3"/>
  <c r="K24" i="3"/>
  <c r="H24" i="3"/>
  <c r="G24" i="3"/>
  <c r="D24" i="3"/>
  <c r="C24" i="3"/>
  <c r="P23" i="3"/>
  <c r="O23" i="3"/>
  <c r="L23" i="3"/>
  <c r="K23" i="3"/>
  <c r="H23" i="3"/>
  <c r="G23" i="3"/>
  <c r="D23" i="3"/>
  <c r="C23" i="3"/>
  <c r="P22" i="3"/>
  <c r="O22" i="3"/>
  <c r="L22" i="3"/>
  <c r="K22" i="3"/>
  <c r="H22" i="3"/>
  <c r="G22" i="3"/>
  <c r="D22" i="3"/>
  <c r="C22" i="3"/>
  <c r="P21" i="3"/>
  <c r="O21" i="3"/>
  <c r="L21" i="3"/>
  <c r="K21" i="3"/>
  <c r="H21" i="3"/>
  <c r="G21" i="3"/>
  <c r="D21" i="3"/>
  <c r="C21" i="3"/>
  <c r="P20" i="3"/>
  <c r="O20" i="3"/>
  <c r="L20" i="3"/>
  <c r="K20" i="3"/>
  <c r="H20" i="3"/>
  <c r="G20" i="3"/>
  <c r="D20" i="3"/>
  <c r="C20" i="3"/>
  <c r="P19" i="3"/>
  <c r="O19" i="3"/>
  <c r="L19" i="3"/>
  <c r="K19" i="3"/>
  <c r="H19" i="3"/>
  <c r="G19" i="3"/>
  <c r="D19" i="3"/>
  <c r="C19" i="3"/>
  <c r="P18" i="3"/>
  <c r="O18" i="3"/>
  <c r="L18" i="3"/>
  <c r="K18" i="3"/>
  <c r="H18" i="3"/>
  <c r="G18" i="3"/>
  <c r="D18" i="3"/>
  <c r="C18" i="3"/>
  <c r="P17" i="3"/>
  <c r="O17" i="3"/>
  <c r="L17" i="3"/>
  <c r="K17" i="3"/>
  <c r="H17" i="3"/>
  <c r="G17" i="3"/>
  <c r="D17" i="3"/>
  <c r="C17" i="3"/>
  <c r="P16" i="3"/>
  <c r="O16" i="3"/>
  <c r="L16" i="3"/>
  <c r="K16" i="3"/>
  <c r="H16" i="3"/>
  <c r="G16" i="3"/>
  <c r="D16" i="3"/>
  <c r="C16" i="3"/>
  <c r="P15" i="3"/>
  <c r="O15" i="3"/>
  <c r="L15" i="3"/>
  <c r="K15" i="3"/>
  <c r="H15" i="3"/>
  <c r="G15" i="3"/>
  <c r="D15" i="3"/>
  <c r="C15" i="3"/>
  <c r="P14" i="3"/>
  <c r="O14" i="3"/>
  <c r="L14" i="3"/>
  <c r="K14" i="3"/>
  <c r="H14" i="3"/>
  <c r="G14" i="3"/>
  <c r="D14" i="3"/>
  <c r="C14" i="3"/>
  <c r="P13" i="3"/>
  <c r="O13" i="3"/>
  <c r="L13" i="3"/>
  <c r="K13" i="3"/>
  <c r="H13" i="3"/>
  <c r="G13" i="3"/>
  <c r="D13" i="3"/>
  <c r="C13" i="3"/>
  <c r="P12" i="3"/>
  <c r="O12" i="3"/>
  <c r="L12" i="3"/>
  <c r="K12" i="3"/>
  <c r="H12" i="3"/>
  <c r="G12" i="3"/>
  <c r="D12" i="3"/>
  <c r="C12" i="3"/>
  <c r="P11" i="3"/>
  <c r="O11" i="3"/>
  <c r="L11" i="3"/>
  <c r="K11" i="3"/>
  <c r="H11" i="3"/>
  <c r="G11" i="3"/>
  <c r="D11" i="3"/>
  <c r="C11" i="3"/>
  <c r="S10" i="3"/>
  <c r="R10" i="3"/>
  <c r="P10" i="3"/>
  <c r="O10" i="3"/>
  <c r="L10" i="3"/>
  <c r="K10" i="3"/>
  <c r="H10" i="3"/>
  <c r="G10" i="3"/>
  <c r="D10" i="3"/>
  <c r="C10" i="3"/>
  <c r="S9" i="3"/>
  <c r="P9" i="3"/>
  <c r="O9" i="3"/>
  <c r="L9" i="3"/>
  <c r="K9" i="3"/>
  <c r="H9" i="3"/>
  <c r="G9" i="3"/>
  <c r="D9" i="3"/>
  <c r="C9" i="3"/>
  <c r="S8" i="3"/>
  <c r="P8" i="3"/>
  <c r="O8" i="3"/>
  <c r="L8" i="3"/>
  <c r="K8" i="3"/>
  <c r="H8" i="3"/>
  <c r="G8" i="3"/>
  <c r="D8" i="3"/>
  <c r="C8" i="3"/>
  <c r="S7" i="3"/>
  <c r="R7" i="3"/>
  <c r="P7" i="3"/>
  <c r="O7" i="3"/>
  <c r="L7" i="3"/>
  <c r="K7" i="3"/>
  <c r="H7" i="3"/>
  <c r="G7" i="3"/>
  <c r="D7" i="3"/>
  <c r="C7" i="3"/>
  <c r="S6" i="3"/>
  <c r="R6" i="3"/>
  <c r="P6" i="3"/>
  <c r="O6" i="3"/>
  <c r="L6" i="3"/>
  <c r="K6" i="3"/>
  <c r="H6" i="3"/>
  <c r="G6" i="3"/>
  <c r="D6" i="3"/>
  <c r="C6" i="3"/>
  <c r="S5" i="3"/>
  <c r="R5" i="3"/>
  <c r="P5" i="3"/>
  <c r="O5" i="3"/>
  <c r="L5" i="3"/>
  <c r="K5" i="3"/>
  <c r="H5" i="3"/>
  <c r="G5" i="3"/>
  <c r="D5" i="3"/>
  <c r="C5" i="3"/>
  <c r="S4" i="3"/>
  <c r="R4" i="3"/>
  <c r="P4" i="3"/>
  <c r="O4" i="3"/>
  <c r="L4" i="3"/>
  <c r="K4" i="3"/>
  <c r="H4" i="3"/>
  <c r="G4" i="3"/>
  <c r="D4" i="3"/>
  <c r="C4" i="3"/>
  <c r="S3" i="3"/>
  <c r="R3" i="3"/>
  <c r="P3" i="3"/>
  <c r="O3" i="3"/>
  <c r="L3" i="3"/>
  <c r="K3" i="3"/>
  <c r="H3" i="3"/>
  <c r="G3" i="3"/>
  <c r="D3" i="3"/>
  <c r="C3" i="3"/>
  <c r="S2" i="3"/>
  <c r="R2" i="3"/>
  <c r="P2" i="3"/>
  <c r="O2" i="3"/>
  <c r="L2" i="3"/>
  <c r="K2" i="3"/>
  <c r="H2" i="3"/>
  <c r="G2" i="3"/>
  <c r="D2" i="3"/>
  <c r="C2" i="3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4" i="5"/>
  <c r="E42" i="1"/>
  <c r="F42" i="1"/>
  <c r="G42" i="1"/>
  <c r="H42" i="1"/>
  <c r="E43" i="1"/>
  <c r="F43" i="1"/>
  <c r="G43" i="1"/>
  <c r="H43" i="1"/>
  <c r="E44" i="1"/>
  <c r="F44" i="1"/>
  <c r="G44" i="1"/>
  <c r="H44" i="1"/>
  <c r="E45" i="1"/>
  <c r="F45" i="1"/>
  <c r="G45" i="1"/>
  <c r="H45" i="1"/>
  <c r="E46" i="1"/>
  <c r="F46" i="1"/>
  <c r="G46" i="1"/>
  <c r="H46" i="1"/>
  <c r="E47" i="1"/>
  <c r="F47" i="1"/>
  <c r="G47" i="1"/>
  <c r="H47" i="1"/>
  <c r="E48" i="1"/>
  <c r="F48" i="1"/>
  <c r="G48" i="1"/>
  <c r="H48" i="1"/>
  <c r="E49" i="1"/>
  <c r="F49" i="1"/>
  <c r="G49" i="1"/>
  <c r="H49" i="1"/>
  <c r="E50" i="1"/>
  <c r="F50" i="1"/>
  <c r="G50" i="1"/>
  <c r="H50" i="1"/>
  <c r="E51" i="1"/>
  <c r="F51" i="1"/>
  <c r="G51" i="1"/>
  <c r="H51" i="1"/>
  <c r="E52" i="1"/>
  <c r="F52" i="1"/>
  <c r="G52" i="1"/>
  <c r="H52" i="1"/>
  <c r="E53" i="1"/>
  <c r="F53" i="1"/>
  <c r="G53" i="1"/>
  <c r="H53" i="1"/>
  <c r="E54" i="1"/>
  <c r="F54" i="1"/>
  <c r="G54" i="1"/>
  <c r="H54" i="1"/>
  <c r="E55" i="1"/>
  <c r="F55" i="1"/>
  <c r="G55" i="1"/>
  <c r="H55" i="1"/>
  <c r="E56" i="1"/>
  <c r="F56" i="1"/>
  <c r="G56" i="1"/>
  <c r="H56" i="1"/>
  <c r="E57" i="1"/>
  <c r="F57" i="1"/>
  <c r="G57" i="1"/>
  <c r="H57" i="1"/>
  <c r="H41" i="1"/>
  <c r="G41" i="1"/>
  <c r="F41" i="1"/>
  <c r="E41" i="1"/>
  <c r="D5" i="2"/>
  <c r="E5" i="2"/>
  <c r="F5" i="2"/>
  <c r="G5" i="2"/>
  <c r="D6" i="2"/>
  <c r="E6" i="2"/>
  <c r="F6" i="2"/>
  <c r="G6" i="2"/>
  <c r="D7" i="2"/>
  <c r="E7" i="2"/>
  <c r="F7" i="2"/>
  <c r="G7" i="2"/>
  <c r="D8" i="2"/>
  <c r="E8" i="2"/>
  <c r="F8" i="2"/>
  <c r="G8" i="2"/>
  <c r="D9" i="2"/>
  <c r="E9" i="2"/>
  <c r="F9" i="2"/>
  <c r="G9" i="2"/>
  <c r="D10" i="2"/>
  <c r="E10" i="2"/>
  <c r="F10" i="2"/>
  <c r="G10" i="2"/>
  <c r="D11" i="2"/>
  <c r="E11" i="2"/>
  <c r="F11" i="2"/>
  <c r="G11" i="2"/>
  <c r="D12" i="2"/>
  <c r="E12" i="2"/>
  <c r="F12" i="2"/>
  <c r="G12" i="2"/>
  <c r="D13" i="2"/>
  <c r="E13" i="2"/>
  <c r="F13" i="2"/>
  <c r="G13" i="2"/>
  <c r="D14" i="2"/>
  <c r="E14" i="2"/>
  <c r="F14" i="2"/>
  <c r="G14" i="2"/>
  <c r="D15" i="2"/>
  <c r="E15" i="2"/>
  <c r="F15" i="2"/>
  <c r="G15" i="2"/>
  <c r="D16" i="2"/>
  <c r="E16" i="2"/>
  <c r="F16" i="2"/>
  <c r="G16" i="2"/>
  <c r="D17" i="2"/>
  <c r="E17" i="2"/>
  <c r="F17" i="2"/>
  <c r="G17" i="2"/>
  <c r="D18" i="2"/>
  <c r="E18" i="2"/>
  <c r="F18" i="2"/>
  <c r="G18" i="2"/>
  <c r="D19" i="2"/>
  <c r="E19" i="2"/>
  <c r="F19" i="2"/>
  <c r="G19" i="2"/>
  <c r="G4" i="2"/>
  <c r="F4" i="2"/>
  <c r="E4" i="2"/>
  <c r="D4" i="2"/>
  <c r="S68" i="4"/>
  <c r="N5" i="4"/>
  <c r="Q4" i="4" s="1"/>
  <c r="H21" i="5"/>
  <c r="F23" i="5"/>
  <c r="F21" i="5"/>
  <c r="F22" i="5" s="1"/>
  <c r="F11" i="5"/>
  <c r="F12" i="5" s="1"/>
  <c r="F13" i="5" s="1"/>
  <c r="F14" i="5" s="1"/>
  <c r="F15" i="5" s="1"/>
  <c r="F16" i="5" s="1"/>
  <c r="F17" i="5" s="1"/>
  <c r="F18" i="5" s="1"/>
  <c r="F19" i="5" s="1"/>
  <c r="F10" i="5"/>
  <c r="F4" i="5"/>
  <c r="F5" i="5" s="1"/>
  <c r="F6" i="5" s="1"/>
  <c r="F7" i="5" s="1"/>
  <c r="F8" i="5" s="1"/>
  <c r="H3" i="5"/>
  <c r="H4" i="4"/>
  <c r="E6" i="4"/>
  <c r="H5" i="4" s="1"/>
  <c r="E7" i="4"/>
  <c r="E5" i="4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BC27" i="1"/>
  <c r="BB27" i="1"/>
  <c r="BC26" i="1"/>
  <c r="BB26" i="1"/>
  <c r="BC25" i="1"/>
  <c r="BB25" i="1"/>
  <c r="BC24" i="1"/>
  <c r="BB24" i="1"/>
  <c r="BC23" i="1"/>
  <c r="BB23" i="1"/>
  <c r="BC22" i="1"/>
  <c r="BB22" i="1"/>
  <c r="BC21" i="1"/>
  <c r="BB21" i="1"/>
  <c r="BC20" i="1"/>
  <c r="BB20" i="1"/>
  <c r="BC19" i="1"/>
  <c r="BB19" i="1"/>
  <c r="BC18" i="1"/>
  <c r="BB18" i="1"/>
  <c r="BC17" i="1"/>
  <c r="BB17" i="1"/>
  <c r="BC16" i="1"/>
  <c r="BB16" i="1"/>
  <c r="BC15" i="1"/>
  <c r="BB15" i="1"/>
  <c r="BC14" i="1"/>
  <c r="BB14" i="1"/>
  <c r="BC13" i="1"/>
  <c r="BB13" i="1"/>
  <c r="BC12" i="1"/>
  <c r="BB12" i="1"/>
  <c r="BC11" i="1"/>
  <c r="BB11" i="1"/>
  <c r="BC10" i="1"/>
  <c r="BB10" i="1"/>
  <c r="BC9" i="1"/>
  <c r="BB9" i="1"/>
  <c r="BC8" i="1"/>
  <c r="BB8" i="1"/>
  <c r="BC7" i="1"/>
  <c r="BB7" i="1"/>
  <c r="BC6" i="1"/>
  <c r="BB6" i="1"/>
  <c r="BC5" i="1"/>
  <c r="BB5" i="1"/>
  <c r="BC4" i="1"/>
  <c r="BB4" i="1"/>
  <c r="AT32" i="1"/>
  <c r="AS32" i="1"/>
  <c r="AT31" i="1"/>
  <c r="AS31" i="1"/>
  <c r="AT30" i="1"/>
  <c r="AS30" i="1"/>
  <c r="AT29" i="1"/>
  <c r="AS29" i="1"/>
  <c r="AT28" i="1"/>
  <c r="AS28" i="1"/>
  <c r="AT27" i="1"/>
  <c r="AS27" i="1"/>
  <c r="AT26" i="1"/>
  <c r="AS26" i="1"/>
  <c r="AT25" i="1"/>
  <c r="AS25" i="1"/>
  <c r="AT24" i="1"/>
  <c r="AS24" i="1"/>
  <c r="AT23" i="1"/>
  <c r="AS23" i="1"/>
  <c r="AT22" i="1"/>
  <c r="AS22" i="1"/>
  <c r="AT21" i="1"/>
  <c r="AS21" i="1"/>
  <c r="AT20" i="1"/>
  <c r="AS20" i="1"/>
  <c r="AT19" i="1"/>
  <c r="AS19" i="1"/>
  <c r="AT18" i="1"/>
  <c r="AS18" i="1"/>
  <c r="AT17" i="1"/>
  <c r="AS17" i="1"/>
  <c r="AT16" i="1"/>
  <c r="AS16" i="1"/>
  <c r="AT15" i="1"/>
  <c r="AS15" i="1"/>
  <c r="AT14" i="1"/>
  <c r="AS14" i="1"/>
  <c r="AT13" i="1"/>
  <c r="AS13" i="1"/>
  <c r="AT12" i="1"/>
  <c r="AS12" i="1"/>
  <c r="AT11" i="1"/>
  <c r="AS11" i="1"/>
  <c r="AT10" i="1"/>
  <c r="AS10" i="1"/>
  <c r="AT9" i="1"/>
  <c r="AS9" i="1"/>
  <c r="AT8" i="1"/>
  <c r="AS8" i="1"/>
  <c r="AT7" i="1"/>
  <c r="AS7" i="1"/>
  <c r="AT6" i="1"/>
  <c r="AS6" i="1"/>
  <c r="AT5" i="1"/>
  <c r="AS5" i="1"/>
  <c r="AT4" i="1"/>
  <c r="AS4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8" i="1"/>
  <c r="AJ8" i="1"/>
  <c r="AK7" i="1"/>
  <c r="AJ7" i="1"/>
  <c r="AK6" i="1"/>
  <c r="AJ6" i="1"/>
  <c r="AK5" i="1"/>
  <c r="AJ5" i="1"/>
  <c r="AK4" i="1"/>
  <c r="AJ4" i="1"/>
  <c r="AB32" i="1"/>
  <c r="AA32" i="1"/>
  <c r="AB31" i="1"/>
  <c r="AA31" i="1"/>
  <c r="AB30" i="1"/>
  <c r="AA30" i="1"/>
  <c r="AB29" i="1"/>
  <c r="AA29" i="1"/>
  <c r="AB28" i="1"/>
  <c r="AA28" i="1"/>
  <c r="AB27" i="1"/>
  <c r="AA27" i="1"/>
  <c r="AB26" i="1"/>
  <c r="AA26" i="1"/>
  <c r="AB25" i="1"/>
  <c r="AA25" i="1"/>
  <c r="AB24" i="1"/>
  <c r="AA24" i="1"/>
  <c r="AB23" i="1"/>
  <c r="AA23" i="1"/>
  <c r="AB22" i="1"/>
  <c r="AA22" i="1"/>
  <c r="AB21" i="1"/>
  <c r="AA21" i="1"/>
  <c r="AB20" i="1"/>
  <c r="AA20" i="1"/>
  <c r="AB19" i="1"/>
  <c r="AA19" i="1"/>
  <c r="AB18" i="1"/>
  <c r="AA18" i="1"/>
  <c r="AB17" i="1"/>
  <c r="AA17" i="1"/>
  <c r="AB16" i="1"/>
  <c r="AA16" i="1"/>
  <c r="AB15" i="1"/>
  <c r="AA15" i="1"/>
  <c r="AB14" i="1"/>
  <c r="AA14" i="1"/>
  <c r="AB13" i="1"/>
  <c r="AA13" i="1"/>
  <c r="AB12" i="1"/>
  <c r="AA12" i="1"/>
  <c r="AB11" i="1"/>
  <c r="AA11" i="1"/>
  <c r="AB10" i="1"/>
  <c r="AA10" i="1"/>
  <c r="AB9" i="1"/>
  <c r="AA9" i="1"/>
  <c r="AB8" i="1"/>
  <c r="AA8" i="1"/>
  <c r="AB7" i="1"/>
  <c r="AA7" i="1"/>
  <c r="AB6" i="1"/>
  <c r="AA6" i="1"/>
  <c r="AB5" i="1"/>
  <c r="AA5" i="1"/>
  <c r="AB4" i="1"/>
  <c r="AA4" i="1"/>
  <c r="S32" i="1"/>
  <c r="R32" i="1"/>
  <c r="S31" i="1"/>
  <c r="R31" i="1"/>
  <c r="S30" i="1"/>
  <c r="R30" i="1"/>
  <c r="S29" i="1"/>
  <c r="R29" i="1"/>
  <c r="S28" i="1"/>
  <c r="R28" i="1"/>
  <c r="S27" i="1"/>
  <c r="R27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7" i="1"/>
  <c r="R17" i="1"/>
  <c r="S16" i="1"/>
  <c r="R16" i="1"/>
  <c r="S15" i="1"/>
  <c r="R15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S7" i="1"/>
  <c r="R7" i="1"/>
  <c r="S6" i="1"/>
  <c r="R6" i="1"/>
  <c r="S5" i="1"/>
  <c r="R5" i="1"/>
  <c r="S4" i="1"/>
  <c r="R4" i="1"/>
  <c r="E8" i="4" l="1"/>
  <c r="H6" i="4"/>
  <c r="H22" i="5"/>
  <c r="F24" i="5"/>
  <c r="H20" i="5"/>
  <c r="N6" i="4"/>
  <c r="H5" i="5"/>
  <c r="H4" i="5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AN37" i="1" l="1"/>
  <c r="D37" i="1"/>
  <c r="M37" i="1"/>
  <c r="H23" i="5"/>
  <c r="F25" i="5"/>
  <c r="V37" i="1"/>
  <c r="AE37" i="1"/>
  <c r="AW37" i="1"/>
  <c r="E9" i="4"/>
  <c r="H7" i="4"/>
  <c r="N7" i="4"/>
  <c r="Q5" i="4"/>
  <c r="H6" i="5"/>
  <c r="E10" i="4" l="1"/>
  <c r="H8" i="4"/>
  <c r="H24" i="5"/>
  <c r="F26" i="5"/>
  <c r="Q6" i="4"/>
  <c r="N8" i="4"/>
  <c r="H7" i="5"/>
  <c r="H25" i="5" l="1"/>
  <c r="F27" i="5"/>
  <c r="E11" i="4"/>
  <c r="H9" i="4"/>
  <c r="N9" i="4"/>
  <c r="Q7" i="4"/>
  <c r="H8" i="5"/>
  <c r="E12" i="4" l="1"/>
  <c r="H10" i="4"/>
  <c r="H26" i="5"/>
  <c r="F28" i="5"/>
  <c r="Q8" i="4"/>
  <c r="N10" i="4"/>
  <c r="H9" i="5"/>
  <c r="F29" i="5" l="1"/>
  <c r="H27" i="5"/>
  <c r="E14" i="4"/>
  <c r="H11" i="4"/>
  <c r="E13" i="4"/>
  <c r="H12" i="4" s="1"/>
  <c r="N11" i="4"/>
  <c r="Q9" i="4"/>
  <c r="H11" i="5"/>
  <c r="H10" i="5"/>
  <c r="E15" i="4" l="1"/>
  <c r="H13" i="4"/>
  <c r="H28" i="5"/>
  <c r="F30" i="5"/>
  <c r="Q10" i="4"/>
  <c r="N12" i="4"/>
  <c r="H12" i="5"/>
  <c r="H29" i="5" l="1"/>
  <c r="F31" i="5"/>
  <c r="E16" i="4"/>
  <c r="H14" i="4"/>
  <c r="N13" i="4"/>
  <c r="Q12" i="4" s="1"/>
  <c r="Q11" i="4"/>
  <c r="N14" i="4"/>
  <c r="H13" i="5"/>
  <c r="H30" i="5" l="1"/>
  <c r="F32" i="5"/>
  <c r="H31" i="5" s="1"/>
  <c r="E17" i="4"/>
  <c r="H15" i="4"/>
  <c r="N15" i="4"/>
  <c r="Q13" i="4"/>
  <c r="H14" i="5"/>
  <c r="E18" i="4" l="1"/>
  <c r="H16" i="4"/>
  <c r="Q14" i="4"/>
  <c r="N16" i="4"/>
  <c r="H15" i="5"/>
  <c r="E19" i="4" l="1"/>
  <c r="H17" i="4"/>
  <c r="N17" i="4"/>
  <c r="Q15" i="4"/>
  <c r="H16" i="5"/>
  <c r="E20" i="4" l="1"/>
  <c r="H18" i="4"/>
  <c r="Q16" i="4"/>
  <c r="N18" i="4"/>
  <c r="H17" i="5"/>
  <c r="E21" i="4" l="1"/>
  <c r="H19" i="4"/>
  <c r="N19" i="4"/>
  <c r="Q17" i="4"/>
  <c r="H18" i="5"/>
  <c r="E22" i="4" l="1"/>
  <c r="H20" i="4"/>
  <c r="Q18" i="4"/>
  <c r="N20" i="4"/>
  <c r="H19" i="5"/>
  <c r="E23" i="4" l="1"/>
  <c r="H21" i="4"/>
  <c r="N21" i="4"/>
  <c r="Q19" i="4"/>
  <c r="E24" i="4" l="1"/>
  <c r="H22" i="4"/>
  <c r="Q20" i="4"/>
  <c r="N22" i="4"/>
  <c r="E25" i="4" l="1"/>
  <c r="H23" i="4"/>
  <c r="N23" i="4"/>
  <c r="Q21" i="4"/>
  <c r="E26" i="4" l="1"/>
  <c r="H24" i="4"/>
  <c r="Q22" i="4"/>
  <c r="N24" i="4"/>
  <c r="E27" i="4" l="1"/>
  <c r="H25" i="4"/>
  <c r="N25" i="4"/>
  <c r="Q23" i="4"/>
  <c r="E28" i="4" l="1"/>
  <c r="H26" i="4"/>
  <c r="Q24" i="4"/>
  <c r="N26" i="4"/>
  <c r="E29" i="4" l="1"/>
  <c r="H27" i="4"/>
  <c r="N27" i="4"/>
  <c r="Q25" i="4"/>
  <c r="E30" i="4" l="1"/>
  <c r="H28" i="4"/>
  <c r="Q26" i="4"/>
  <c r="N28" i="4"/>
  <c r="E31" i="4" l="1"/>
  <c r="H29" i="4"/>
  <c r="N29" i="4"/>
  <c r="Q27" i="4"/>
  <c r="E32" i="4" l="1"/>
  <c r="H30" i="4"/>
  <c r="Q28" i="4"/>
  <c r="N30" i="4"/>
  <c r="E33" i="4" l="1"/>
  <c r="H31" i="4"/>
  <c r="N31" i="4"/>
  <c r="Q29" i="4"/>
  <c r="E34" i="4" l="1"/>
  <c r="H32" i="4"/>
  <c r="Q30" i="4"/>
  <c r="N32" i="4"/>
  <c r="E35" i="4" l="1"/>
  <c r="H33" i="4"/>
  <c r="N33" i="4"/>
  <c r="Q31" i="4"/>
  <c r="E36" i="4" l="1"/>
  <c r="H34" i="4"/>
  <c r="Q32" i="4"/>
  <c r="N34" i="4"/>
  <c r="E37" i="4" l="1"/>
  <c r="H35" i="4"/>
  <c r="N35" i="4"/>
  <c r="Q33" i="4"/>
  <c r="E38" i="4" l="1"/>
  <c r="H36" i="4"/>
  <c r="Q34" i="4"/>
  <c r="N36" i="4"/>
  <c r="E39" i="4" l="1"/>
  <c r="H37" i="4"/>
  <c r="N37" i="4"/>
  <c r="Q35" i="4"/>
  <c r="E40" i="4" l="1"/>
  <c r="H38" i="4"/>
  <c r="Q36" i="4"/>
  <c r="N38" i="4"/>
  <c r="E41" i="4" l="1"/>
  <c r="H39" i="4"/>
  <c r="N39" i="4"/>
  <c r="Q37" i="4"/>
  <c r="E42" i="4" l="1"/>
  <c r="H40" i="4"/>
  <c r="Q38" i="4"/>
  <c r="N40" i="4"/>
  <c r="E43" i="4" l="1"/>
  <c r="H41" i="4"/>
  <c r="N41" i="4"/>
  <c r="Q39" i="4"/>
  <c r="E44" i="4" l="1"/>
  <c r="H42" i="4"/>
  <c r="Q40" i="4"/>
  <c r="N42" i="4"/>
  <c r="E45" i="4" l="1"/>
  <c r="H43" i="4"/>
  <c r="N43" i="4"/>
  <c r="Q41" i="4"/>
  <c r="E46" i="4" l="1"/>
  <c r="H44" i="4"/>
  <c r="Q42" i="4"/>
  <c r="N44" i="4"/>
  <c r="E47" i="4" l="1"/>
  <c r="H45" i="4"/>
  <c r="N45" i="4"/>
  <c r="Q43" i="4"/>
  <c r="E48" i="4" l="1"/>
  <c r="H46" i="4"/>
  <c r="Q44" i="4"/>
  <c r="N46" i="4"/>
  <c r="E49" i="4" l="1"/>
  <c r="H47" i="4"/>
  <c r="N47" i="4"/>
  <c r="Q45" i="4"/>
  <c r="E50" i="4" l="1"/>
  <c r="H48" i="4"/>
  <c r="Q46" i="4"/>
  <c r="N48" i="4"/>
  <c r="E51" i="4" l="1"/>
  <c r="H49" i="4"/>
  <c r="N49" i="4"/>
  <c r="Q47" i="4"/>
  <c r="E52" i="4" l="1"/>
  <c r="H50" i="4"/>
  <c r="Q48" i="4"/>
  <c r="N50" i="4"/>
  <c r="E53" i="4" l="1"/>
  <c r="H51" i="4"/>
  <c r="N51" i="4"/>
  <c r="Q49" i="4"/>
  <c r="E54" i="4" l="1"/>
  <c r="H52" i="4"/>
  <c r="Q50" i="4"/>
  <c r="N52" i="4"/>
  <c r="E55" i="4" l="1"/>
  <c r="H53" i="4"/>
  <c r="N53" i="4"/>
  <c r="Q51" i="4"/>
  <c r="E56" i="4" l="1"/>
  <c r="H54" i="4"/>
  <c r="Q52" i="4"/>
  <c r="N54" i="4"/>
  <c r="E57" i="4" l="1"/>
  <c r="H55" i="4"/>
  <c r="N55" i="4"/>
  <c r="Q53" i="4"/>
  <c r="E58" i="4" l="1"/>
  <c r="H56" i="4"/>
  <c r="Q54" i="4"/>
  <c r="N56" i="4"/>
  <c r="E59" i="4" l="1"/>
  <c r="H57" i="4"/>
  <c r="N57" i="4"/>
  <c r="Q55" i="4"/>
  <c r="E60" i="4" l="1"/>
  <c r="H58" i="4"/>
  <c r="Q56" i="4"/>
  <c r="N58" i="4"/>
  <c r="E61" i="4" l="1"/>
  <c r="H59" i="4"/>
  <c r="N59" i="4"/>
  <c r="Q57" i="4"/>
  <c r="E62" i="4" l="1"/>
  <c r="H60" i="4"/>
  <c r="Q58" i="4"/>
  <c r="N60" i="4"/>
  <c r="E63" i="4" l="1"/>
  <c r="H61" i="4"/>
  <c r="N61" i="4"/>
  <c r="Q59" i="4"/>
  <c r="E64" i="4" l="1"/>
  <c r="H62" i="4"/>
  <c r="Q60" i="4"/>
  <c r="N62" i="4"/>
  <c r="E65" i="4" l="1"/>
  <c r="H63" i="4"/>
  <c r="N63" i="4"/>
  <c r="Q61" i="4"/>
  <c r="E66" i="4" l="1"/>
  <c r="H64" i="4"/>
  <c r="Q62" i="4"/>
  <c r="N64" i="4"/>
  <c r="E67" i="4" l="1"/>
  <c r="H65" i="4"/>
  <c r="N65" i="4"/>
  <c r="Q63" i="4"/>
  <c r="E68" i="4" l="1"/>
  <c r="H66" i="4"/>
  <c r="Q64" i="4"/>
  <c r="N66" i="4"/>
  <c r="E69" i="4" l="1"/>
  <c r="H67" i="4"/>
  <c r="N67" i="4"/>
  <c r="Q65" i="4"/>
  <c r="E70" i="4" l="1"/>
  <c r="H68" i="4"/>
  <c r="Q66" i="4"/>
  <c r="N68" i="4"/>
  <c r="E71" i="4" l="1"/>
  <c r="H69" i="4"/>
  <c r="N69" i="4"/>
  <c r="Q67" i="4"/>
  <c r="E72" i="4" l="1"/>
  <c r="H70" i="4"/>
  <c r="N70" i="4"/>
  <c r="Q68" i="4"/>
  <c r="E73" i="4" l="1"/>
  <c r="H71" i="4"/>
  <c r="N71" i="4"/>
  <c r="Q69" i="4"/>
  <c r="E74" i="4" l="1"/>
  <c r="H72" i="4"/>
  <c r="N72" i="4"/>
  <c r="Q70" i="4"/>
  <c r="E75" i="4" l="1"/>
  <c r="H73" i="4"/>
  <c r="N73" i="4"/>
  <c r="Q71" i="4"/>
  <c r="E76" i="4" l="1"/>
  <c r="H74" i="4"/>
  <c r="N74" i="4"/>
  <c r="Q72" i="4"/>
  <c r="E77" i="4" l="1"/>
  <c r="H75" i="4"/>
  <c r="N75" i="4"/>
  <c r="Q73" i="4"/>
  <c r="E78" i="4" l="1"/>
  <c r="H76" i="4"/>
  <c r="N76" i="4"/>
  <c r="Q74" i="4"/>
  <c r="E79" i="4" l="1"/>
  <c r="H77" i="4"/>
  <c r="N77" i="4"/>
  <c r="Q75" i="4"/>
  <c r="E80" i="4" l="1"/>
  <c r="H78" i="4"/>
  <c r="N78" i="4"/>
  <c r="Q76" i="4"/>
  <c r="E81" i="4" l="1"/>
  <c r="H79" i="4"/>
  <c r="N79" i="4"/>
  <c r="Q77" i="4"/>
  <c r="E82" i="4" l="1"/>
  <c r="H80" i="4"/>
  <c r="N80" i="4"/>
  <c r="Q78" i="4"/>
  <c r="E83" i="4" l="1"/>
  <c r="H81" i="4"/>
  <c r="N81" i="4"/>
  <c r="Q79" i="4"/>
  <c r="E84" i="4" l="1"/>
  <c r="H82" i="4"/>
  <c r="N82" i="4"/>
  <c r="Q80" i="4"/>
  <c r="E85" i="4" l="1"/>
  <c r="H83" i="4"/>
  <c r="N83" i="4"/>
  <c r="Q81" i="4"/>
  <c r="E86" i="4" l="1"/>
  <c r="H84" i="4"/>
  <c r="N84" i="4"/>
  <c r="Q82" i="4"/>
  <c r="E87" i="4" l="1"/>
  <c r="H85" i="4"/>
  <c r="N85" i="4"/>
  <c r="Q83" i="4"/>
  <c r="E88" i="4" l="1"/>
  <c r="H86" i="4"/>
  <c r="N86" i="4"/>
  <c r="Q84" i="4"/>
  <c r="E89" i="4" l="1"/>
  <c r="H87" i="4"/>
  <c r="N87" i="4"/>
  <c r="Q85" i="4"/>
  <c r="E90" i="4" l="1"/>
  <c r="H88" i="4"/>
  <c r="N88" i="4"/>
  <c r="Q86" i="4"/>
  <c r="E91" i="4" l="1"/>
  <c r="H89" i="4"/>
  <c r="N89" i="4"/>
  <c r="Q87" i="4"/>
  <c r="E92" i="4" l="1"/>
  <c r="H90" i="4"/>
  <c r="N90" i="4"/>
  <c r="Q88" i="4"/>
  <c r="E93" i="4" l="1"/>
  <c r="H91" i="4"/>
  <c r="N91" i="4"/>
  <c r="Q89" i="4"/>
  <c r="E94" i="4" l="1"/>
  <c r="H92" i="4"/>
  <c r="N92" i="4"/>
  <c r="Q90" i="4"/>
  <c r="E95" i="4" l="1"/>
  <c r="H93" i="4"/>
  <c r="N93" i="4"/>
  <c r="Q91" i="4"/>
  <c r="E96" i="4" l="1"/>
  <c r="H94" i="4"/>
  <c r="N94" i="4"/>
  <c r="Q92" i="4"/>
  <c r="E97" i="4" l="1"/>
  <c r="H95" i="4"/>
  <c r="N95" i="4"/>
  <c r="Q93" i="4"/>
  <c r="E98" i="4" l="1"/>
  <c r="H96" i="4"/>
  <c r="N96" i="4"/>
  <c r="Q94" i="4"/>
  <c r="E99" i="4" l="1"/>
  <c r="H97" i="4"/>
  <c r="N97" i="4"/>
  <c r="Q95" i="4"/>
  <c r="E100" i="4" l="1"/>
  <c r="H98" i="4"/>
  <c r="N98" i="4"/>
  <c r="Q96" i="4"/>
  <c r="E101" i="4" l="1"/>
  <c r="H99" i="4"/>
  <c r="N99" i="4"/>
  <c r="Q97" i="4"/>
  <c r="E102" i="4" l="1"/>
  <c r="H100" i="4"/>
  <c r="N100" i="4"/>
  <c r="Q98" i="4"/>
  <c r="E103" i="4" l="1"/>
  <c r="H101" i="4"/>
  <c r="N101" i="4"/>
  <c r="Q99" i="4"/>
  <c r="E104" i="4" l="1"/>
  <c r="H102" i="4"/>
  <c r="N102" i="4"/>
  <c r="Q100" i="4"/>
  <c r="E105" i="4" l="1"/>
  <c r="H103" i="4"/>
  <c r="N103" i="4"/>
  <c r="Q101" i="4"/>
  <c r="E106" i="4" l="1"/>
  <c r="H104" i="4"/>
  <c r="N104" i="4"/>
  <c r="Q102" i="4"/>
  <c r="E107" i="4" l="1"/>
  <c r="H105" i="4"/>
  <c r="N105" i="4"/>
  <c r="Q103" i="4"/>
  <c r="E108" i="4" l="1"/>
  <c r="H106" i="4"/>
  <c r="N106" i="4"/>
  <c r="Q104" i="4"/>
  <c r="E109" i="4" l="1"/>
  <c r="H107" i="4"/>
  <c r="N107" i="4"/>
  <c r="Q105" i="4"/>
  <c r="E110" i="4" l="1"/>
  <c r="H108" i="4"/>
  <c r="N108" i="4"/>
  <c r="Q106" i="4"/>
  <c r="E111" i="4" l="1"/>
  <c r="H109" i="4"/>
  <c r="N109" i="4"/>
  <c r="Q107" i="4"/>
  <c r="E112" i="4" l="1"/>
  <c r="H110" i="4"/>
  <c r="N110" i="4"/>
  <c r="Q108" i="4"/>
  <c r="E113" i="4" l="1"/>
  <c r="H111" i="4"/>
  <c r="N111" i="4"/>
  <c r="Q109" i="4"/>
  <c r="E114" i="4" l="1"/>
  <c r="H112" i="4"/>
  <c r="N112" i="4"/>
  <c r="Q110" i="4"/>
  <c r="E115" i="4" l="1"/>
  <c r="H113" i="4"/>
  <c r="N113" i="4"/>
  <c r="Q111" i="4"/>
  <c r="E116" i="4" l="1"/>
  <c r="H114" i="4"/>
  <c r="N114" i="4"/>
  <c r="Q112" i="4"/>
  <c r="E117" i="4" l="1"/>
  <c r="H115" i="4"/>
  <c r="N115" i="4"/>
  <c r="Q113" i="4"/>
  <c r="E118" i="4" l="1"/>
  <c r="H116" i="4"/>
  <c r="N116" i="4"/>
  <c r="Q114" i="4"/>
  <c r="E119" i="4" l="1"/>
  <c r="H117" i="4"/>
  <c r="N117" i="4"/>
  <c r="Q115" i="4"/>
  <c r="E120" i="4" l="1"/>
  <c r="H118" i="4"/>
  <c r="N118" i="4"/>
  <c r="Q116" i="4"/>
  <c r="E121" i="4" l="1"/>
  <c r="H119" i="4"/>
  <c r="N119" i="4"/>
  <c r="Q117" i="4"/>
  <c r="E122" i="4" l="1"/>
  <c r="H120" i="4"/>
  <c r="N120" i="4"/>
  <c r="Q118" i="4"/>
  <c r="E123" i="4" l="1"/>
  <c r="H121" i="4"/>
  <c r="N121" i="4"/>
  <c r="Q119" i="4"/>
  <c r="E124" i="4" l="1"/>
  <c r="H122" i="4"/>
  <c r="N122" i="4"/>
  <c r="Q120" i="4"/>
  <c r="E125" i="4" l="1"/>
  <c r="H123" i="4"/>
  <c r="N123" i="4"/>
  <c r="Q121" i="4"/>
  <c r="E126" i="4" l="1"/>
  <c r="H124" i="4"/>
  <c r="N124" i="4"/>
  <c r="Q122" i="4"/>
  <c r="E127" i="4" l="1"/>
  <c r="H125" i="4"/>
  <c r="N125" i="4"/>
  <c r="Q123" i="4"/>
  <c r="E128" i="4" l="1"/>
  <c r="H126" i="4"/>
  <c r="N126" i="4"/>
  <c r="Q124" i="4"/>
  <c r="E129" i="4" l="1"/>
  <c r="H127" i="4"/>
  <c r="N127" i="4"/>
  <c r="Q125" i="4"/>
  <c r="E130" i="4" l="1"/>
  <c r="H128" i="4"/>
  <c r="N128" i="4"/>
  <c r="Q126" i="4"/>
  <c r="E131" i="4" l="1"/>
  <c r="H129" i="4"/>
  <c r="N129" i="4"/>
  <c r="Q127" i="4"/>
  <c r="E132" i="4" l="1"/>
  <c r="H130" i="4"/>
  <c r="N130" i="4"/>
  <c r="Q128" i="4"/>
  <c r="E133" i="4" l="1"/>
  <c r="H131" i="4"/>
  <c r="N131" i="4"/>
  <c r="Q129" i="4"/>
  <c r="E134" i="4" l="1"/>
  <c r="H132" i="4"/>
  <c r="N132" i="4"/>
  <c r="Q130" i="4"/>
  <c r="E135" i="4" l="1"/>
  <c r="H133" i="4"/>
  <c r="N133" i="4"/>
  <c r="Q131" i="4"/>
  <c r="E136" i="4" l="1"/>
  <c r="H134" i="4"/>
  <c r="N134" i="4"/>
  <c r="Q132" i="4"/>
  <c r="E137" i="4" l="1"/>
  <c r="H135" i="4"/>
  <c r="N135" i="4"/>
  <c r="Q133" i="4"/>
  <c r="E138" i="4" l="1"/>
  <c r="H136" i="4"/>
  <c r="N136" i="4"/>
  <c r="Q134" i="4"/>
  <c r="E139" i="4" l="1"/>
  <c r="H137" i="4"/>
  <c r="N137" i="4"/>
  <c r="Q135" i="4"/>
  <c r="E140" i="4" l="1"/>
  <c r="H138" i="4"/>
  <c r="N138" i="4"/>
  <c r="Q136" i="4"/>
  <c r="E141" i="4" l="1"/>
  <c r="H139" i="4"/>
  <c r="N139" i="4"/>
  <c r="Q137" i="4"/>
  <c r="E142" i="4" l="1"/>
  <c r="H140" i="4"/>
  <c r="N140" i="4"/>
  <c r="Q138" i="4"/>
  <c r="E143" i="4" l="1"/>
  <c r="H141" i="4"/>
  <c r="N141" i="4"/>
  <c r="Q139" i="4"/>
  <c r="E144" i="4" l="1"/>
  <c r="H142" i="4"/>
  <c r="N142" i="4"/>
  <c r="Q140" i="4"/>
  <c r="E145" i="4" l="1"/>
  <c r="H143" i="4"/>
  <c r="N143" i="4"/>
  <c r="Q141" i="4"/>
  <c r="E146" i="4" l="1"/>
  <c r="H144" i="4"/>
  <c r="N144" i="4"/>
  <c r="Q142" i="4"/>
  <c r="E147" i="4" l="1"/>
  <c r="H145" i="4"/>
  <c r="N145" i="4"/>
  <c r="Q143" i="4"/>
  <c r="E148" i="4" l="1"/>
  <c r="H146" i="4"/>
  <c r="N146" i="4"/>
  <c r="Q144" i="4"/>
  <c r="E149" i="4" l="1"/>
  <c r="H147" i="4"/>
  <c r="N147" i="4"/>
  <c r="Q145" i="4"/>
  <c r="E150" i="4" l="1"/>
  <c r="H148" i="4"/>
  <c r="N148" i="4"/>
  <c r="Q146" i="4"/>
  <c r="E151" i="4" l="1"/>
  <c r="H149" i="4"/>
  <c r="N149" i="4"/>
  <c r="Q147" i="4"/>
  <c r="E152" i="4" l="1"/>
  <c r="H150" i="4"/>
  <c r="N150" i="4"/>
  <c r="Q148" i="4"/>
  <c r="E153" i="4" l="1"/>
  <c r="H151" i="4"/>
  <c r="N151" i="4"/>
  <c r="Q149" i="4"/>
  <c r="E154" i="4" l="1"/>
  <c r="H152" i="4"/>
  <c r="N152" i="4"/>
  <c r="Q150" i="4"/>
  <c r="E155" i="4" l="1"/>
  <c r="H153" i="4"/>
  <c r="N153" i="4"/>
  <c r="Q151" i="4"/>
  <c r="E156" i="4" l="1"/>
  <c r="H154" i="4"/>
  <c r="N154" i="4"/>
  <c r="Q152" i="4"/>
  <c r="E157" i="4" l="1"/>
  <c r="H155" i="4"/>
  <c r="N155" i="4"/>
  <c r="Q153" i="4"/>
  <c r="E158" i="4" l="1"/>
  <c r="H156" i="4"/>
  <c r="N156" i="4"/>
  <c r="Q154" i="4"/>
  <c r="E159" i="4" l="1"/>
  <c r="H157" i="4"/>
  <c r="N157" i="4"/>
  <c r="Q155" i="4"/>
  <c r="E160" i="4" l="1"/>
  <c r="H158" i="4"/>
  <c r="N158" i="4"/>
  <c r="Q156" i="4"/>
  <c r="E161" i="4" l="1"/>
  <c r="H159" i="4"/>
  <c r="N159" i="4"/>
  <c r="Q157" i="4"/>
  <c r="E162" i="4" l="1"/>
  <c r="H160" i="4"/>
  <c r="N160" i="4"/>
  <c r="Q158" i="4"/>
  <c r="E163" i="4" l="1"/>
  <c r="H161" i="4"/>
  <c r="N161" i="4"/>
  <c r="Q159" i="4"/>
  <c r="E164" i="4" l="1"/>
  <c r="H162" i="4"/>
  <c r="N162" i="4"/>
  <c r="Q160" i="4"/>
  <c r="E165" i="4" l="1"/>
  <c r="H163" i="4"/>
  <c r="N163" i="4"/>
  <c r="Q161" i="4"/>
  <c r="E166" i="4" l="1"/>
  <c r="H164" i="4"/>
  <c r="N164" i="4"/>
  <c r="Q162" i="4"/>
  <c r="E167" i="4" l="1"/>
  <c r="H165" i="4"/>
  <c r="N165" i="4"/>
  <c r="Q163" i="4"/>
  <c r="E168" i="4" l="1"/>
  <c r="H166" i="4"/>
  <c r="N166" i="4"/>
  <c r="Q164" i="4"/>
  <c r="E169" i="4" l="1"/>
  <c r="H167" i="4"/>
  <c r="N167" i="4"/>
  <c r="Q165" i="4"/>
  <c r="E170" i="4" l="1"/>
  <c r="H168" i="4"/>
  <c r="N168" i="4"/>
  <c r="Q166" i="4"/>
  <c r="E171" i="4" l="1"/>
  <c r="H169" i="4"/>
  <c r="N169" i="4"/>
  <c r="Q167" i="4"/>
  <c r="E172" i="4" l="1"/>
  <c r="H170" i="4"/>
  <c r="N170" i="4"/>
  <c r="Q168" i="4"/>
  <c r="E173" i="4" l="1"/>
  <c r="H171" i="4"/>
  <c r="N171" i="4"/>
  <c r="Q169" i="4"/>
  <c r="E174" i="4" l="1"/>
  <c r="H172" i="4"/>
  <c r="N172" i="4"/>
  <c r="Q170" i="4"/>
  <c r="E175" i="4" l="1"/>
  <c r="H173" i="4"/>
  <c r="N173" i="4"/>
  <c r="Q171" i="4"/>
  <c r="E176" i="4" l="1"/>
  <c r="H174" i="4"/>
  <c r="N174" i="4"/>
  <c r="Q172" i="4"/>
  <c r="E177" i="4" l="1"/>
  <c r="H175" i="4"/>
  <c r="N175" i="4"/>
  <c r="Q173" i="4"/>
  <c r="E178" i="4" l="1"/>
  <c r="H176" i="4"/>
  <c r="N176" i="4"/>
  <c r="Q174" i="4"/>
  <c r="E179" i="4" l="1"/>
  <c r="H177" i="4"/>
  <c r="N177" i="4"/>
  <c r="Q175" i="4"/>
  <c r="E180" i="4" l="1"/>
  <c r="H178" i="4"/>
  <c r="N178" i="4"/>
  <c r="Q176" i="4"/>
  <c r="E181" i="4" l="1"/>
  <c r="H179" i="4"/>
  <c r="N179" i="4"/>
  <c r="Q177" i="4"/>
  <c r="E182" i="4" l="1"/>
  <c r="H180" i="4"/>
  <c r="N180" i="4"/>
  <c r="Q178" i="4"/>
  <c r="E183" i="4" l="1"/>
  <c r="H181" i="4"/>
  <c r="N181" i="4"/>
  <c r="Q179" i="4"/>
  <c r="E184" i="4" l="1"/>
  <c r="H182" i="4"/>
  <c r="N182" i="4"/>
  <c r="Q180" i="4"/>
  <c r="E185" i="4" l="1"/>
  <c r="H183" i="4"/>
  <c r="N183" i="4"/>
  <c r="Q181" i="4"/>
  <c r="E186" i="4" l="1"/>
  <c r="H184" i="4"/>
  <c r="N184" i="4"/>
  <c r="Q182" i="4"/>
  <c r="E187" i="4" l="1"/>
  <c r="H185" i="4"/>
  <c r="N185" i="4"/>
  <c r="Q183" i="4"/>
  <c r="E188" i="4" l="1"/>
  <c r="H186" i="4"/>
  <c r="N186" i="4"/>
  <c r="Q184" i="4"/>
  <c r="E189" i="4" l="1"/>
  <c r="H187" i="4"/>
  <c r="N187" i="4"/>
  <c r="Q185" i="4"/>
  <c r="E190" i="4" l="1"/>
  <c r="H188" i="4"/>
  <c r="N188" i="4"/>
  <c r="Q186" i="4"/>
  <c r="E191" i="4" l="1"/>
  <c r="H189" i="4"/>
  <c r="N189" i="4"/>
  <c r="Q187" i="4"/>
  <c r="E192" i="4" l="1"/>
  <c r="H190" i="4"/>
  <c r="N190" i="4"/>
  <c r="Q188" i="4"/>
  <c r="E193" i="4" l="1"/>
  <c r="H191" i="4"/>
  <c r="N191" i="4"/>
  <c r="Q189" i="4"/>
  <c r="E194" i="4" l="1"/>
  <c r="H192" i="4"/>
  <c r="N192" i="4"/>
  <c r="Q190" i="4"/>
  <c r="E195" i="4" l="1"/>
  <c r="H193" i="4"/>
  <c r="N193" i="4"/>
  <c r="Q191" i="4"/>
  <c r="E196" i="4" l="1"/>
  <c r="H194" i="4"/>
  <c r="N194" i="4"/>
  <c r="Q192" i="4"/>
  <c r="E197" i="4" l="1"/>
  <c r="H195" i="4"/>
  <c r="N195" i="4"/>
  <c r="Q193" i="4"/>
  <c r="E198" i="4" l="1"/>
  <c r="H196" i="4"/>
  <c r="N196" i="4"/>
  <c r="Q194" i="4"/>
  <c r="E199" i="4" l="1"/>
  <c r="H197" i="4"/>
  <c r="N197" i="4"/>
  <c r="Q195" i="4"/>
  <c r="E200" i="4" l="1"/>
  <c r="H198" i="4"/>
  <c r="N198" i="4"/>
  <c r="Q196" i="4"/>
  <c r="E201" i="4" l="1"/>
  <c r="H199" i="4"/>
  <c r="N199" i="4"/>
  <c r="Q197" i="4"/>
  <c r="E202" i="4" l="1"/>
  <c r="H200" i="4"/>
  <c r="N200" i="4"/>
  <c r="Q198" i="4"/>
  <c r="E203" i="4" l="1"/>
  <c r="H201" i="4"/>
  <c r="N201" i="4"/>
  <c r="Q199" i="4"/>
  <c r="E204" i="4" l="1"/>
  <c r="H202" i="4"/>
  <c r="N202" i="4"/>
  <c r="Q200" i="4"/>
  <c r="E205" i="4" l="1"/>
  <c r="H203" i="4"/>
  <c r="N203" i="4"/>
  <c r="Q201" i="4"/>
  <c r="E206" i="4" l="1"/>
  <c r="H204" i="4"/>
  <c r="N204" i="4"/>
  <c r="Q202" i="4"/>
  <c r="E207" i="4" l="1"/>
  <c r="H205" i="4"/>
  <c r="N205" i="4"/>
  <c r="Q203" i="4"/>
  <c r="E208" i="4" l="1"/>
  <c r="H206" i="4"/>
  <c r="N206" i="4"/>
  <c r="Q204" i="4"/>
  <c r="E209" i="4" l="1"/>
  <c r="H207" i="4"/>
  <c r="N207" i="4"/>
  <c r="Q205" i="4"/>
  <c r="E210" i="4" l="1"/>
  <c r="H208" i="4"/>
  <c r="N208" i="4"/>
  <c r="Q206" i="4"/>
  <c r="E211" i="4" l="1"/>
  <c r="H209" i="4"/>
  <c r="N209" i="4"/>
  <c r="Q207" i="4"/>
  <c r="E212" i="4" l="1"/>
  <c r="H210" i="4"/>
  <c r="N210" i="4"/>
  <c r="Q208" i="4"/>
  <c r="E213" i="4" l="1"/>
  <c r="H211" i="4"/>
  <c r="N211" i="4"/>
  <c r="Q209" i="4"/>
  <c r="E214" i="4" l="1"/>
  <c r="H212" i="4"/>
  <c r="N212" i="4"/>
  <c r="Q210" i="4"/>
  <c r="E215" i="4" l="1"/>
  <c r="H213" i="4"/>
  <c r="N213" i="4"/>
  <c r="Q211" i="4"/>
  <c r="E216" i="4" l="1"/>
  <c r="H214" i="4"/>
  <c r="N214" i="4"/>
  <c r="Q212" i="4"/>
  <c r="E217" i="4" l="1"/>
  <c r="H215" i="4"/>
  <c r="N215" i="4"/>
  <c r="Q213" i="4"/>
  <c r="E218" i="4" l="1"/>
  <c r="H216" i="4"/>
  <c r="N216" i="4"/>
  <c r="Q214" i="4"/>
  <c r="E219" i="4" l="1"/>
  <c r="H217" i="4"/>
  <c r="N217" i="4"/>
  <c r="Q215" i="4"/>
  <c r="E220" i="4" l="1"/>
  <c r="H218" i="4"/>
  <c r="N218" i="4"/>
  <c r="Q216" i="4"/>
  <c r="E221" i="4" l="1"/>
  <c r="H219" i="4"/>
  <c r="N219" i="4"/>
  <c r="Q217" i="4"/>
  <c r="E222" i="4" l="1"/>
  <c r="H220" i="4"/>
  <c r="N220" i="4"/>
  <c r="Q218" i="4"/>
  <c r="E223" i="4" l="1"/>
  <c r="H221" i="4"/>
  <c r="N221" i="4"/>
  <c r="Q219" i="4"/>
  <c r="E224" i="4" l="1"/>
  <c r="H222" i="4"/>
  <c r="N222" i="4"/>
  <c r="Q220" i="4"/>
  <c r="E225" i="4" l="1"/>
  <c r="H223" i="4"/>
  <c r="N223" i="4"/>
  <c r="Q221" i="4"/>
  <c r="E226" i="4" l="1"/>
  <c r="H224" i="4"/>
  <c r="N224" i="4"/>
  <c r="Q222" i="4"/>
  <c r="E227" i="4" l="1"/>
  <c r="H225" i="4"/>
  <c r="N225" i="4"/>
  <c r="Q223" i="4"/>
  <c r="E228" i="4" l="1"/>
  <c r="H226" i="4"/>
  <c r="N226" i="4"/>
  <c r="Q224" i="4"/>
  <c r="E229" i="4" l="1"/>
  <c r="H227" i="4"/>
  <c r="N227" i="4"/>
  <c r="Q225" i="4"/>
  <c r="E230" i="4" l="1"/>
  <c r="H228" i="4"/>
  <c r="N228" i="4"/>
  <c r="Q226" i="4"/>
  <c r="E231" i="4" l="1"/>
  <c r="H229" i="4"/>
  <c r="N229" i="4"/>
  <c r="Q227" i="4"/>
  <c r="E232" i="4" l="1"/>
  <c r="H230" i="4"/>
  <c r="N230" i="4"/>
  <c r="Q228" i="4"/>
  <c r="E233" i="4" l="1"/>
  <c r="H231" i="4"/>
  <c r="N231" i="4"/>
  <c r="Q229" i="4"/>
  <c r="E234" i="4" l="1"/>
  <c r="H232" i="4"/>
  <c r="N232" i="4"/>
  <c r="Q230" i="4"/>
  <c r="E235" i="4" l="1"/>
  <c r="H233" i="4"/>
  <c r="N233" i="4"/>
  <c r="Q231" i="4"/>
  <c r="E236" i="4" l="1"/>
  <c r="H234" i="4"/>
  <c r="N234" i="4"/>
  <c r="Q232" i="4"/>
  <c r="E237" i="4" l="1"/>
  <c r="H235" i="4"/>
  <c r="N235" i="4"/>
  <c r="Q233" i="4"/>
  <c r="E238" i="4" l="1"/>
  <c r="H236" i="4"/>
  <c r="N236" i="4"/>
  <c r="Q234" i="4"/>
  <c r="E239" i="4" l="1"/>
  <c r="H237" i="4"/>
  <c r="N237" i="4"/>
  <c r="Q235" i="4"/>
  <c r="E240" i="4" l="1"/>
  <c r="H238" i="4"/>
  <c r="N238" i="4"/>
  <c r="Q236" i="4"/>
  <c r="E241" i="4" l="1"/>
  <c r="H239" i="4"/>
  <c r="N239" i="4"/>
  <c r="Q237" i="4"/>
  <c r="E242" i="4" l="1"/>
  <c r="H240" i="4"/>
  <c r="N240" i="4"/>
  <c r="Q238" i="4"/>
  <c r="E243" i="4" l="1"/>
  <c r="H241" i="4"/>
  <c r="N241" i="4"/>
  <c r="Q239" i="4"/>
  <c r="E244" i="4" l="1"/>
  <c r="H242" i="4"/>
  <c r="N242" i="4"/>
  <c r="Q240" i="4"/>
  <c r="E245" i="4" l="1"/>
  <c r="H243" i="4"/>
  <c r="N243" i="4"/>
  <c r="Q241" i="4"/>
  <c r="E246" i="4" l="1"/>
  <c r="H244" i="4"/>
  <c r="N244" i="4"/>
  <c r="Q242" i="4"/>
  <c r="E247" i="4" l="1"/>
  <c r="H245" i="4"/>
  <c r="N245" i="4"/>
  <c r="Q243" i="4"/>
  <c r="E248" i="4" l="1"/>
  <c r="H246" i="4"/>
  <c r="N246" i="4"/>
  <c r="Q244" i="4"/>
  <c r="E249" i="4" l="1"/>
  <c r="H247" i="4"/>
  <c r="N247" i="4"/>
  <c r="Q245" i="4"/>
  <c r="E250" i="4" l="1"/>
  <c r="H248" i="4"/>
  <c r="N248" i="4"/>
  <c r="Q246" i="4"/>
  <c r="E251" i="4" l="1"/>
  <c r="H249" i="4"/>
  <c r="N249" i="4"/>
  <c r="Q247" i="4"/>
  <c r="E252" i="4" l="1"/>
  <c r="H250" i="4"/>
  <c r="N250" i="4"/>
  <c r="Q248" i="4"/>
  <c r="E253" i="4" l="1"/>
  <c r="H251" i="4"/>
  <c r="N251" i="4"/>
  <c r="Q249" i="4"/>
  <c r="E254" i="4" l="1"/>
  <c r="H252" i="4"/>
  <c r="N252" i="4"/>
  <c r="Q250" i="4"/>
  <c r="E255" i="4" l="1"/>
  <c r="H253" i="4"/>
  <c r="N253" i="4"/>
  <c r="Q251" i="4"/>
  <c r="E256" i="4" l="1"/>
  <c r="H254" i="4"/>
  <c r="N254" i="4"/>
  <c r="Q252" i="4"/>
  <c r="E257" i="4" l="1"/>
  <c r="H255" i="4"/>
  <c r="N255" i="4"/>
  <c r="Q253" i="4"/>
  <c r="E258" i="4" l="1"/>
  <c r="H256" i="4"/>
  <c r="N256" i="4"/>
  <c r="Q254" i="4"/>
  <c r="E259" i="4" l="1"/>
  <c r="H257" i="4"/>
  <c r="N257" i="4"/>
  <c r="Q255" i="4"/>
  <c r="E260" i="4" l="1"/>
  <c r="H258" i="4"/>
  <c r="N258" i="4"/>
  <c r="Q256" i="4"/>
  <c r="E261" i="4" l="1"/>
  <c r="H259" i="4"/>
  <c r="N259" i="4"/>
  <c r="Q257" i="4"/>
  <c r="E262" i="4" l="1"/>
  <c r="H260" i="4"/>
  <c r="N260" i="4"/>
  <c r="Q258" i="4"/>
  <c r="E263" i="4" l="1"/>
  <c r="H261" i="4"/>
  <c r="N261" i="4"/>
  <c r="Q259" i="4"/>
  <c r="E264" i="4" l="1"/>
  <c r="H262" i="4"/>
  <c r="N262" i="4"/>
  <c r="Q260" i="4"/>
  <c r="E265" i="4" l="1"/>
  <c r="H263" i="4"/>
  <c r="N263" i="4"/>
  <c r="Q261" i="4"/>
  <c r="E266" i="4" l="1"/>
  <c r="H264" i="4"/>
  <c r="N264" i="4"/>
  <c r="Q262" i="4"/>
  <c r="E267" i="4" l="1"/>
  <c r="H265" i="4"/>
  <c r="N265" i="4"/>
  <c r="Q263" i="4"/>
  <c r="E268" i="4" l="1"/>
  <c r="H266" i="4"/>
  <c r="N266" i="4"/>
  <c r="Q264" i="4"/>
  <c r="E269" i="4" l="1"/>
  <c r="H267" i="4"/>
  <c r="N267" i="4"/>
  <c r="Q265" i="4"/>
  <c r="E270" i="4" l="1"/>
  <c r="H268" i="4"/>
  <c r="N268" i="4"/>
  <c r="Q266" i="4"/>
  <c r="E271" i="4" l="1"/>
  <c r="H269" i="4"/>
  <c r="N269" i="4"/>
  <c r="Q267" i="4"/>
  <c r="E272" i="4" l="1"/>
  <c r="H270" i="4"/>
  <c r="N270" i="4"/>
  <c r="Q268" i="4"/>
  <c r="E273" i="4" l="1"/>
  <c r="H271" i="4"/>
  <c r="N271" i="4"/>
  <c r="Q269" i="4"/>
  <c r="E274" i="4" l="1"/>
  <c r="H272" i="4"/>
  <c r="N272" i="4"/>
  <c r="Q270" i="4"/>
  <c r="E275" i="4" l="1"/>
  <c r="H273" i="4"/>
  <c r="N273" i="4"/>
  <c r="Q271" i="4"/>
  <c r="E276" i="4" l="1"/>
  <c r="H274" i="4"/>
  <c r="N274" i="4"/>
  <c r="Q272" i="4"/>
  <c r="E277" i="4" l="1"/>
  <c r="H275" i="4"/>
  <c r="N275" i="4"/>
  <c r="Q273" i="4"/>
  <c r="E278" i="4" l="1"/>
  <c r="H276" i="4"/>
  <c r="N276" i="4"/>
  <c r="Q274" i="4"/>
  <c r="E279" i="4" l="1"/>
  <c r="H277" i="4"/>
  <c r="N277" i="4"/>
  <c r="Q275" i="4"/>
  <c r="E280" i="4" l="1"/>
  <c r="H278" i="4"/>
  <c r="N278" i="4"/>
  <c r="Q276" i="4"/>
  <c r="E281" i="4" l="1"/>
  <c r="H279" i="4"/>
  <c r="N279" i="4"/>
  <c r="Q277" i="4"/>
  <c r="E282" i="4" l="1"/>
  <c r="H280" i="4"/>
  <c r="N280" i="4"/>
  <c r="Q278" i="4"/>
  <c r="E283" i="4" l="1"/>
  <c r="H281" i="4"/>
  <c r="N281" i="4"/>
  <c r="Q279" i="4"/>
  <c r="E284" i="4" l="1"/>
  <c r="H282" i="4"/>
  <c r="N282" i="4"/>
  <c r="Q280" i="4"/>
  <c r="E285" i="4" l="1"/>
  <c r="H283" i="4"/>
  <c r="N283" i="4"/>
  <c r="Q281" i="4"/>
  <c r="E286" i="4" l="1"/>
  <c r="H284" i="4"/>
  <c r="N284" i="4"/>
  <c r="Q282" i="4"/>
  <c r="E287" i="4" l="1"/>
  <c r="H285" i="4"/>
  <c r="N285" i="4"/>
  <c r="Q283" i="4"/>
  <c r="E288" i="4" l="1"/>
  <c r="H286" i="4"/>
  <c r="N286" i="4"/>
  <c r="Q284" i="4"/>
  <c r="E289" i="4" l="1"/>
  <c r="H287" i="4"/>
  <c r="N287" i="4"/>
  <c r="Q285" i="4"/>
  <c r="E290" i="4" l="1"/>
  <c r="H288" i="4"/>
  <c r="N288" i="4"/>
  <c r="Q286" i="4"/>
  <c r="E291" i="4" l="1"/>
  <c r="H289" i="4"/>
  <c r="N289" i="4"/>
  <c r="Q287" i="4"/>
  <c r="E292" i="4" l="1"/>
  <c r="H290" i="4"/>
  <c r="N290" i="4"/>
  <c r="Q288" i="4"/>
  <c r="E293" i="4" l="1"/>
  <c r="H291" i="4"/>
  <c r="N291" i="4"/>
  <c r="Q289" i="4"/>
  <c r="E294" i="4" l="1"/>
  <c r="H292" i="4"/>
  <c r="N292" i="4"/>
  <c r="Q290" i="4"/>
  <c r="E295" i="4" l="1"/>
  <c r="H293" i="4"/>
  <c r="N293" i="4"/>
  <c r="Q291" i="4"/>
  <c r="E296" i="4" l="1"/>
  <c r="H294" i="4"/>
  <c r="N294" i="4"/>
  <c r="Q292" i="4"/>
  <c r="E297" i="4" l="1"/>
  <c r="H295" i="4"/>
  <c r="N295" i="4"/>
  <c r="Q293" i="4"/>
  <c r="E298" i="4" l="1"/>
  <c r="H296" i="4"/>
  <c r="N296" i="4"/>
  <c r="Q294" i="4"/>
  <c r="E299" i="4" l="1"/>
  <c r="H297" i="4"/>
  <c r="N297" i="4"/>
  <c r="Q295" i="4"/>
  <c r="E300" i="4" l="1"/>
  <c r="H298" i="4"/>
  <c r="N298" i="4"/>
  <c r="Q296" i="4"/>
  <c r="E301" i="4" l="1"/>
  <c r="H299" i="4"/>
  <c r="N299" i="4"/>
  <c r="Q297" i="4"/>
  <c r="E302" i="4" l="1"/>
  <c r="H300" i="4"/>
  <c r="N300" i="4"/>
  <c r="Q298" i="4"/>
  <c r="E303" i="4" l="1"/>
  <c r="H301" i="4"/>
  <c r="N301" i="4"/>
  <c r="Q299" i="4"/>
  <c r="E304" i="4" l="1"/>
  <c r="H302" i="4"/>
  <c r="N302" i="4"/>
  <c r="Q300" i="4"/>
  <c r="E305" i="4" l="1"/>
  <c r="H303" i="4"/>
  <c r="N303" i="4"/>
  <c r="Q301" i="4"/>
  <c r="E306" i="4" l="1"/>
  <c r="H304" i="4"/>
  <c r="N304" i="4"/>
  <c r="Q302" i="4"/>
  <c r="E307" i="4" l="1"/>
  <c r="H305" i="4"/>
  <c r="N305" i="4"/>
  <c r="Q303" i="4"/>
  <c r="E308" i="4" l="1"/>
  <c r="H306" i="4"/>
  <c r="N306" i="4"/>
  <c r="Q304" i="4"/>
  <c r="E309" i="4" l="1"/>
  <c r="H307" i="4"/>
  <c r="N307" i="4"/>
  <c r="Q305" i="4"/>
  <c r="E310" i="4" l="1"/>
  <c r="H308" i="4"/>
  <c r="N308" i="4"/>
  <c r="Q306" i="4"/>
  <c r="E311" i="4" l="1"/>
  <c r="H309" i="4"/>
  <c r="N309" i="4"/>
  <c r="Q307" i="4"/>
  <c r="E312" i="4" l="1"/>
  <c r="H310" i="4"/>
  <c r="N310" i="4"/>
  <c r="Q308" i="4"/>
  <c r="E313" i="4" l="1"/>
  <c r="H311" i="4"/>
  <c r="N311" i="4"/>
  <c r="Q309" i="4"/>
  <c r="E314" i="4" l="1"/>
  <c r="H312" i="4"/>
  <c r="N312" i="4"/>
  <c r="Q310" i="4"/>
  <c r="E315" i="4" l="1"/>
  <c r="H313" i="4"/>
  <c r="N313" i="4"/>
  <c r="Q311" i="4"/>
  <c r="E316" i="4" l="1"/>
  <c r="H314" i="4"/>
  <c r="N314" i="4"/>
  <c r="Q312" i="4"/>
  <c r="E317" i="4" l="1"/>
  <c r="H315" i="4"/>
  <c r="N315" i="4"/>
  <c r="Q313" i="4"/>
  <c r="E318" i="4" l="1"/>
  <c r="H316" i="4"/>
  <c r="N316" i="4"/>
  <c r="Q314" i="4"/>
  <c r="E319" i="4" l="1"/>
  <c r="H317" i="4"/>
  <c r="N317" i="4"/>
  <c r="Q315" i="4"/>
  <c r="E320" i="4" l="1"/>
  <c r="H318" i="4"/>
  <c r="N318" i="4"/>
  <c r="Q316" i="4"/>
  <c r="E321" i="4" l="1"/>
  <c r="H319" i="4"/>
  <c r="N319" i="4"/>
  <c r="Q317" i="4"/>
  <c r="E322" i="4" l="1"/>
  <c r="H320" i="4"/>
  <c r="N320" i="4"/>
  <c r="Q318" i="4"/>
  <c r="E323" i="4" l="1"/>
  <c r="H321" i="4"/>
  <c r="N321" i="4"/>
  <c r="Q319" i="4"/>
  <c r="E324" i="4" l="1"/>
  <c r="H322" i="4"/>
  <c r="N322" i="4"/>
  <c r="Q320" i="4"/>
  <c r="E325" i="4" l="1"/>
  <c r="H323" i="4"/>
  <c r="N323" i="4"/>
  <c r="Q321" i="4"/>
  <c r="E326" i="4" l="1"/>
  <c r="H324" i="4"/>
  <c r="N324" i="4"/>
  <c r="Q322" i="4"/>
  <c r="E327" i="4" l="1"/>
  <c r="H325" i="4"/>
  <c r="N325" i="4"/>
  <c r="Q323" i="4"/>
  <c r="E328" i="4" l="1"/>
  <c r="H326" i="4"/>
  <c r="N326" i="4"/>
  <c r="Q324" i="4"/>
  <c r="E329" i="4" l="1"/>
  <c r="H327" i="4"/>
  <c r="N327" i="4"/>
  <c r="Q325" i="4"/>
  <c r="E330" i="4" l="1"/>
  <c r="H328" i="4"/>
  <c r="N328" i="4"/>
  <c r="Q326" i="4"/>
  <c r="E331" i="4" l="1"/>
  <c r="H329" i="4"/>
  <c r="N329" i="4"/>
  <c r="Q327" i="4"/>
  <c r="E332" i="4" l="1"/>
  <c r="H330" i="4"/>
  <c r="N330" i="4"/>
  <c r="Q328" i="4"/>
  <c r="E333" i="4" l="1"/>
  <c r="H331" i="4"/>
  <c r="N331" i="4"/>
  <c r="Q329" i="4"/>
  <c r="E334" i="4" l="1"/>
  <c r="H332" i="4"/>
  <c r="N332" i="4"/>
  <c r="Q330" i="4"/>
  <c r="E335" i="4" l="1"/>
  <c r="H333" i="4"/>
  <c r="N333" i="4"/>
  <c r="Q331" i="4"/>
  <c r="E336" i="4" l="1"/>
  <c r="H334" i="4"/>
  <c r="N334" i="4"/>
  <c r="Q332" i="4"/>
  <c r="E337" i="4" l="1"/>
  <c r="H335" i="4"/>
  <c r="N335" i="4"/>
  <c r="Q333" i="4"/>
  <c r="E338" i="4" l="1"/>
  <c r="H336" i="4"/>
  <c r="N336" i="4"/>
  <c r="Q334" i="4"/>
  <c r="E339" i="4" l="1"/>
  <c r="H337" i="4"/>
  <c r="N337" i="4"/>
  <c r="Q335" i="4"/>
  <c r="E340" i="4" l="1"/>
  <c r="H338" i="4"/>
  <c r="N338" i="4"/>
  <c r="Q336" i="4"/>
  <c r="E341" i="4" l="1"/>
  <c r="H339" i="4"/>
  <c r="N339" i="4"/>
  <c r="Q337" i="4"/>
  <c r="E342" i="4" l="1"/>
  <c r="H340" i="4"/>
  <c r="N340" i="4"/>
  <c r="Q338" i="4"/>
  <c r="E343" i="4" l="1"/>
  <c r="H341" i="4"/>
  <c r="N341" i="4"/>
  <c r="Q339" i="4"/>
  <c r="E344" i="4" l="1"/>
  <c r="H342" i="4"/>
  <c r="N342" i="4"/>
  <c r="Q340" i="4"/>
  <c r="E345" i="4" l="1"/>
  <c r="H343" i="4"/>
  <c r="N343" i="4"/>
  <c r="Q341" i="4"/>
  <c r="E346" i="4" l="1"/>
  <c r="H344" i="4"/>
  <c r="N344" i="4"/>
  <c r="Q342" i="4"/>
  <c r="E347" i="4" l="1"/>
  <c r="H345" i="4"/>
  <c r="N345" i="4"/>
  <c r="Q343" i="4"/>
  <c r="E348" i="4" l="1"/>
  <c r="H346" i="4"/>
  <c r="N346" i="4"/>
  <c r="Q344" i="4"/>
  <c r="E349" i="4" l="1"/>
  <c r="H347" i="4"/>
  <c r="N347" i="4"/>
  <c r="Q345" i="4"/>
  <c r="E350" i="4" l="1"/>
  <c r="H348" i="4"/>
  <c r="N348" i="4"/>
  <c r="Q346" i="4"/>
  <c r="E351" i="4" l="1"/>
  <c r="H349" i="4"/>
  <c r="N349" i="4"/>
  <c r="Q347" i="4"/>
  <c r="E352" i="4" l="1"/>
  <c r="H350" i="4"/>
  <c r="N350" i="4"/>
  <c r="Q348" i="4"/>
  <c r="E353" i="4" l="1"/>
  <c r="H351" i="4"/>
  <c r="N351" i="4"/>
  <c r="Q349" i="4"/>
  <c r="E354" i="4" l="1"/>
  <c r="H352" i="4"/>
  <c r="N352" i="4"/>
  <c r="Q350" i="4"/>
  <c r="E355" i="4" l="1"/>
  <c r="H353" i="4"/>
  <c r="N353" i="4"/>
  <c r="Q351" i="4"/>
  <c r="E356" i="4" l="1"/>
  <c r="H354" i="4"/>
  <c r="N354" i="4"/>
  <c r="Q352" i="4"/>
  <c r="H355" i="4" l="1"/>
  <c r="H356" i="4"/>
  <c r="E358" i="4"/>
  <c r="N355" i="4"/>
  <c r="Q353" i="4"/>
  <c r="E359" i="4" l="1"/>
  <c r="H357" i="4"/>
  <c r="N356" i="4"/>
  <c r="Q354" i="4"/>
  <c r="E360" i="4" l="1"/>
  <c r="H358" i="4"/>
  <c r="Q356" i="4"/>
  <c r="N358" i="4"/>
  <c r="Q355" i="4"/>
  <c r="E361" i="4" l="1"/>
  <c r="H359" i="4"/>
  <c r="N359" i="4"/>
  <c r="Q357" i="4"/>
  <c r="E362" i="4" l="1"/>
  <c r="H360" i="4"/>
  <c r="Q358" i="4"/>
  <c r="N360" i="4"/>
  <c r="E363" i="4" l="1"/>
  <c r="H361" i="4"/>
  <c r="N361" i="4"/>
  <c r="Q359" i="4"/>
  <c r="E364" i="4" l="1"/>
  <c r="H362" i="4"/>
  <c r="Q360" i="4"/>
  <c r="N362" i="4"/>
  <c r="E365" i="4" l="1"/>
  <c r="H363" i="4"/>
  <c r="N363" i="4"/>
  <c r="Q361" i="4"/>
  <c r="E366" i="4" l="1"/>
  <c r="H365" i="4" s="1"/>
  <c r="H364" i="4"/>
  <c r="Q362" i="4"/>
  <c r="N364" i="4"/>
  <c r="N365" i="4" l="1"/>
  <c r="Q363" i="4"/>
  <c r="Q364" i="4" l="1"/>
  <c r="N366" i="4"/>
  <c r="Q365" i="4" s="1"/>
</calcChain>
</file>

<file path=xl/sharedStrings.xml><?xml version="1.0" encoding="utf-8"?>
<sst xmlns="http://schemas.openxmlformats.org/spreadsheetml/2006/main" count="565" uniqueCount="148">
  <si>
    <t>截面类型</t>
    <phoneticPr fontId="1" type="noConversion"/>
  </si>
  <si>
    <t>A</t>
    <phoneticPr fontId="1" type="noConversion"/>
  </si>
  <si>
    <t>IX</t>
    <phoneticPr fontId="1" type="noConversion"/>
  </si>
  <si>
    <t>IY</t>
    <phoneticPr fontId="1" type="noConversion"/>
  </si>
  <si>
    <t>IZ</t>
    <phoneticPr fontId="1" type="noConversion"/>
  </si>
  <si>
    <t>TY</t>
    <phoneticPr fontId="1" type="noConversion"/>
  </si>
  <si>
    <t>TZ</t>
    <phoneticPr fontId="1" type="noConversion"/>
  </si>
  <si>
    <t>长度</t>
    <phoneticPr fontId="1" type="noConversion"/>
  </si>
  <si>
    <t>I</t>
    <phoneticPr fontId="1" type="noConversion"/>
  </si>
  <si>
    <t>E2</t>
    <phoneticPr fontId="1" type="noConversion"/>
  </si>
  <si>
    <t>D2</t>
    <phoneticPr fontId="1" type="noConversion"/>
  </si>
  <si>
    <t>K</t>
    <phoneticPr fontId="1" type="noConversion"/>
  </si>
  <si>
    <t>H</t>
    <phoneticPr fontId="1" type="noConversion"/>
  </si>
  <si>
    <t>E1</t>
    <phoneticPr fontId="1" type="noConversion"/>
  </si>
  <si>
    <t>F</t>
    <phoneticPr fontId="1" type="noConversion"/>
  </si>
  <si>
    <t>D1</t>
    <phoneticPr fontId="1" type="noConversion"/>
  </si>
  <si>
    <t>G</t>
    <phoneticPr fontId="1" type="noConversion"/>
  </si>
  <si>
    <t>B2</t>
    <phoneticPr fontId="1" type="noConversion"/>
  </si>
  <si>
    <t>C</t>
    <phoneticPr fontId="1" type="noConversion"/>
  </si>
  <si>
    <t>B1</t>
    <phoneticPr fontId="1" type="noConversion"/>
  </si>
  <si>
    <t>J</t>
    <phoneticPr fontId="1" type="noConversion"/>
  </si>
  <si>
    <t>J1</t>
    <phoneticPr fontId="1" type="noConversion"/>
  </si>
  <si>
    <t>J2</t>
    <phoneticPr fontId="1" type="noConversion"/>
  </si>
  <si>
    <t>J3</t>
    <phoneticPr fontId="1" type="noConversion"/>
  </si>
  <si>
    <t>长度(m)</t>
    <phoneticPr fontId="1" type="noConversion"/>
  </si>
  <si>
    <t>TY(m)</t>
    <phoneticPr fontId="1" type="noConversion"/>
  </si>
  <si>
    <t>TZ(m)</t>
    <phoneticPr fontId="1" type="noConversion"/>
  </si>
  <si>
    <r>
      <t>A(m</t>
    </r>
    <r>
      <rPr>
        <vertAlign val="superscript"/>
        <sz val="11"/>
        <color theme="1"/>
        <rFont val="华文楷体"/>
        <family val="3"/>
        <charset val="134"/>
        <scheme val="minor"/>
      </rPr>
      <t>2</t>
    </r>
    <r>
      <rPr>
        <sz val="11"/>
        <color theme="1"/>
        <rFont val="华文楷体"/>
        <family val="2"/>
        <charset val="134"/>
        <scheme val="minor"/>
      </rPr>
      <t>)</t>
    </r>
    <phoneticPr fontId="1" type="noConversion"/>
  </si>
  <si>
    <r>
      <t>IX(m</t>
    </r>
    <r>
      <rPr>
        <vertAlign val="superscript"/>
        <sz val="11"/>
        <color theme="1"/>
        <rFont val="华文楷体"/>
        <family val="3"/>
        <charset val="134"/>
        <scheme val="minor"/>
      </rPr>
      <t>4</t>
    </r>
    <r>
      <rPr>
        <sz val="11"/>
        <color theme="1"/>
        <rFont val="华文楷体"/>
        <family val="2"/>
        <charset val="134"/>
        <scheme val="minor"/>
      </rPr>
      <t>)</t>
    </r>
    <phoneticPr fontId="1" type="noConversion"/>
  </si>
  <si>
    <r>
      <t>IY(m</t>
    </r>
    <r>
      <rPr>
        <vertAlign val="superscript"/>
        <sz val="11"/>
        <color theme="1"/>
        <rFont val="华文楷体"/>
        <family val="3"/>
        <charset val="134"/>
        <scheme val="minor"/>
      </rPr>
      <t>4</t>
    </r>
    <r>
      <rPr>
        <sz val="11"/>
        <color theme="1"/>
        <rFont val="华文楷体"/>
        <family val="2"/>
        <charset val="134"/>
        <scheme val="minor"/>
      </rPr>
      <t>)</t>
    </r>
    <phoneticPr fontId="1" type="noConversion"/>
  </si>
  <si>
    <r>
      <t>IZ(m</t>
    </r>
    <r>
      <rPr>
        <vertAlign val="superscript"/>
        <sz val="11"/>
        <color theme="1"/>
        <rFont val="华文楷体"/>
        <family val="3"/>
        <charset val="134"/>
        <scheme val="minor"/>
      </rPr>
      <t>4</t>
    </r>
    <r>
      <rPr>
        <sz val="11"/>
        <color theme="1"/>
        <rFont val="华文楷体"/>
        <family val="2"/>
        <charset val="134"/>
        <scheme val="minor"/>
      </rPr>
      <t>)</t>
    </r>
    <phoneticPr fontId="1" type="noConversion"/>
  </si>
  <si>
    <t>1_1</t>
    <phoneticPr fontId="1" type="noConversion"/>
  </si>
  <si>
    <t>2_2</t>
    <phoneticPr fontId="1" type="noConversion"/>
  </si>
  <si>
    <t>3_3</t>
    <phoneticPr fontId="1" type="noConversion"/>
  </si>
  <si>
    <t>4_4</t>
    <phoneticPr fontId="1" type="noConversion"/>
  </si>
  <si>
    <t>5_5</t>
    <phoneticPr fontId="1" type="noConversion"/>
  </si>
  <si>
    <t>6_6</t>
    <phoneticPr fontId="1" type="noConversion"/>
  </si>
  <si>
    <t>7_7</t>
    <phoneticPr fontId="1" type="noConversion"/>
  </si>
  <si>
    <t>8_8</t>
    <phoneticPr fontId="1" type="noConversion"/>
  </si>
  <si>
    <t>9_9</t>
    <phoneticPr fontId="1" type="noConversion"/>
  </si>
  <si>
    <t>10_10</t>
    <phoneticPr fontId="1" type="noConversion"/>
  </si>
  <si>
    <t>11_11</t>
    <phoneticPr fontId="1" type="noConversion"/>
  </si>
  <si>
    <t>12_12</t>
    <phoneticPr fontId="1" type="noConversion"/>
  </si>
  <si>
    <t>13_13</t>
    <phoneticPr fontId="1" type="noConversion"/>
  </si>
  <si>
    <t>14_14</t>
    <phoneticPr fontId="1" type="noConversion"/>
  </si>
  <si>
    <t>15_15</t>
    <phoneticPr fontId="1" type="noConversion"/>
  </si>
  <si>
    <t>16_16</t>
    <phoneticPr fontId="1" type="noConversion"/>
  </si>
  <si>
    <t>8..8</t>
    <phoneticPr fontId="1" type="noConversion"/>
  </si>
  <si>
    <t>L</t>
    <phoneticPr fontId="1" type="noConversion"/>
  </si>
  <si>
    <t>控制点类型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</si>
  <si>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</si>
  <si>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</si>
  <si>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</si>
  <si>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编号</t>
    <phoneticPr fontId="1" type="noConversion"/>
  </si>
  <si>
    <t>控制点类型说明</t>
    <phoneticPr fontId="1" type="noConversion"/>
  </si>
  <si>
    <t>支座位置</t>
    <phoneticPr fontId="1" type="noConversion"/>
  </si>
  <si>
    <t>拉索位置</t>
    <phoneticPr fontId="1" type="noConversion"/>
  </si>
  <si>
    <t>一般位置</t>
    <phoneticPr fontId="1" type="noConversion"/>
  </si>
  <si>
    <t>阻尼器位置</t>
    <phoneticPr fontId="1" type="noConversion"/>
  </si>
  <si>
    <t>LeftSide</t>
    <phoneticPr fontId="1" type="noConversion"/>
  </si>
  <si>
    <t>截面形式选取</t>
    <phoneticPr fontId="1" type="noConversion"/>
  </si>
  <si>
    <t>RightSide</t>
    <phoneticPr fontId="1" type="noConversion"/>
  </si>
  <si>
    <t>分段一</t>
    <phoneticPr fontId="1" type="noConversion"/>
  </si>
  <si>
    <t>分段二</t>
    <phoneticPr fontId="1" type="noConversion"/>
  </si>
  <si>
    <t>分段三</t>
    <phoneticPr fontId="1" type="noConversion"/>
  </si>
  <si>
    <t>分段四</t>
    <phoneticPr fontId="1" type="noConversion"/>
  </si>
  <si>
    <t>分段五</t>
    <phoneticPr fontId="1" type="noConversion"/>
  </si>
  <si>
    <t>分段六</t>
    <phoneticPr fontId="1" type="noConversion"/>
  </si>
  <si>
    <t>Gir_L</t>
  </si>
  <si>
    <t>Gir_C</t>
    <phoneticPr fontId="1" type="noConversion"/>
  </si>
  <si>
    <t>序号</t>
    <phoneticPr fontId="1" type="noConversion"/>
  </si>
  <si>
    <t>面积</t>
    <phoneticPr fontId="1" type="noConversion"/>
  </si>
  <si>
    <t xml:space="preserve">     IYY     </t>
  </si>
  <si>
    <t xml:space="preserve">     IZZ     </t>
  </si>
  <si>
    <t xml:space="preserve">     IXX     </t>
  </si>
  <si>
    <t xml:space="preserve">     OFFX    </t>
  </si>
  <si>
    <t xml:space="preserve">     OFFY    </t>
  </si>
  <si>
    <t>T1,6</t>
    <phoneticPr fontId="6" type="noConversion"/>
  </si>
  <si>
    <t>根数</t>
    <phoneticPr fontId="6" type="noConversion"/>
  </si>
  <si>
    <t>面积(mm2)</t>
    <phoneticPr fontId="6" type="noConversion"/>
  </si>
  <si>
    <t>直径(MM)</t>
    <phoneticPr fontId="6" type="noConversion"/>
  </si>
  <si>
    <t>T2,5</t>
    <phoneticPr fontId="6" type="noConversion"/>
  </si>
  <si>
    <t>T3</t>
    <phoneticPr fontId="6" type="noConversion"/>
  </si>
  <si>
    <t>T4</t>
    <phoneticPr fontId="6" type="noConversion"/>
  </si>
  <si>
    <t>W-B1</t>
    <phoneticPr fontId="6" type="noConversion"/>
  </si>
  <si>
    <t>W-B1</t>
    <phoneticPr fontId="6" type="noConversion"/>
  </si>
  <si>
    <t>CAB-1</t>
    <phoneticPr fontId="6" type="noConversion"/>
  </si>
  <si>
    <t>W-B2</t>
    <phoneticPr fontId="6" type="noConversion"/>
  </si>
  <si>
    <t>CAB-2</t>
    <phoneticPr fontId="6" type="noConversion"/>
  </si>
  <si>
    <t>W-B3</t>
  </si>
  <si>
    <t>CAB-3</t>
  </si>
  <si>
    <t>W-B4</t>
  </si>
  <si>
    <t>CAB-4</t>
  </si>
  <si>
    <t>W-B5</t>
  </si>
  <si>
    <t>CAB-5</t>
  </si>
  <si>
    <t>W-B6</t>
  </si>
  <si>
    <t>CAB-6</t>
  </si>
  <si>
    <t>W-B7</t>
  </si>
  <si>
    <t>CAB-7</t>
  </si>
  <si>
    <t>W-B8</t>
  </si>
  <si>
    <t>CAB-8</t>
  </si>
  <si>
    <t>W-B9</t>
  </si>
  <si>
    <t>CAB-9</t>
  </si>
  <si>
    <t>W-B10</t>
  </si>
  <si>
    <t>W-B11</t>
  </si>
  <si>
    <t>W-B12</t>
  </si>
  <si>
    <t>W-Z1</t>
    <phoneticPr fontId="6" type="noConversion"/>
  </si>
  <si>
    <t>W-Z2</t>
    <phoneticPr fontId="6" type="noConversion"/>
  </si>
  <si>
    <t>W-Z3</t>
  </si>
  <si>
    <t>W-Z4</t>
  </si>
  <si>
    <t>W-Z5</t>
  </si>
  <si>
    <t>W-Z6</t>
  </si>
  <si>
    <t>W-Z7</t>
  </si>
  <si>
    <t>W-Z8</t>
  </si>
  <si>
    <t>W-Z9</t>
  </si>
  <si>
    <t>W-Z10</t>
  </si>
  <si>
    <t>W-Z11</t>
  </si>
  <si>
    <t>W-Z12</t>
  </si>
  <si>
    <t>N-B1</t>
    <phoneticPr fontId="6" type="noConversion"/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</si>
  <si>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-B2</t>
    </r>
    <phoneticPr fontId="6" type="noConversion"/>
  </si>
  <si>
    <t>N-B3</t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</si>
  <si>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-B4</t>
    </r>
    <r>
      <rPr>
        <sz val="11"/>
        <color indexed="8"/>
        <rFont val="宋体"/>
        <family val="3"/>
        <charset val="134"/>
      </rPr>
      <t/>
    </r>
  </si>
  <si>
    <t>N-B5</t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</si>
  <si>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-B6</t>
    </r>
    <r>
      <rPr>
        <sz val="11"/>
        <color indexed="8"/>
        <rFont val="宋体"/>
        <family val="3"/>
        <charset val="134"/>
      </rPr>
      <t/>
    </r>
  </si>
  <si>
    <t>N-B7</t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</si>
  <si>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-B8</t>
    </r>
    <r>
      <rPr>
        <sz val="11"/>
        <color indexed="8"/>
        <rFont val="宋体"/>
        <family val="3"/>
        <charset val="134"/>
      </rPr>
      <t/>
    </r>
  </si>
  <si>
    <t>N-B9</t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</si>
  <si>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-B10</t>
    </r>
    <r>
      <rPr>
        <sz val="11"/>
        <color indexed="8"/>
        <rFont val="宋体"/>
        <family val="3"/>
        <charset val="134"/>
      </rPr>
      <t/>
    </r>
  </si>
  <si>
    <t>N-B11</t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</si>
  <si>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-B12</t>
    </r>
    <r>
      <rPr>
        <sz val="11"/>
        <color indexed="8"/>
        <rFont val="宋体"/>
        <family val="3"/>
        <charset val="134"/>
      </rPr>
      <t/>
    </r>
  </si>
  <si>
    <t>N-Z1</t>
    <phoneticPr fontId="6" type="noConversion"/>
  </si>
  <si>
    <r>
      <t>N</t>
    </r>
    <r>
      <rPr>
        <sz val="11"/>
        <color theme="1"/>
        <rFont val="华文楷体"/>
        <family val="2"/>
        <charset val="134"/>
        <scheme val="minor"/>
      </rPr>
      <t>-Z2</t>
    </r>
    <phoneticPr fontId="6" type="noConversion"/>
  </si>
  <si>
    <t>N-Z3</t>
  </si>
  <si>
    <r>
      <t>N</t>
    </r>
    <r>
      <rPr>
        <sz val="11"/>
        <color theme="1"/>
        <rFont val="华文楷体"/>
        <family val="2"/>
        <charset val="134"/>
        <scheme val="minor"/>
      </rPr>
      <t>-Z4</t>
    </r>
    <r>
      <rPr>
        <sz val="11"/>
        <color indexed="8"/>
        <rFont val="宋体"/>
        <family val="3"/>
        <charset val="134"/>
      </rPr>
      <t/>
    </r>
  </si>
  <si>
    <t>N-Z5</t>
  </si>
  <si>
    <r>
      <t>N</t>
    </r>
    <r>
      <rPr>
        <sz val="11"/>
        <color theme="1"/>
        <rFont val="华文楷体"/>
        <family val="2"/>
        <charset val="134"/>
        <scheme val="minor"/>
      </rPr>
      <t>-Z6</t>
    </r>
    <r>
      <rPr>
        <sz val="11"/>
        <color indexed="8"/>
        <rFont val="宋体"/>
        <family val="3"/>
        <charset val="134"/>
      </rPr>
      <t/>
    </r>
  </si>
  <si>
    <t>N-Z7</t>
  </si>
  <si>
    <r>
      <t>N</t>
    </r>
    <r>
      <rPr>
        <sz val="11"/>
        <color theme="1"/>
        <rFont val="华文楷体"/>
        <family val="2"/>
        <charset val="134"/>
        <scheme val="minor"/>
      </rPr>
      <t>-Z8</t>
    </r>
    <r>
      <rPr>
        <sz val="11"/>
        <color indexed="8"/>
        <rFont val="宋体"/>
        <family val="3"/>
        <charset val="134"/>
      </rPr>
      <t/>
    </r>
  </si>
  <si>
    <t>N-Z9</t>
  </si>
  <si>
    <r>
      <t>N</t>
    </r>
    <r>
      <rPr>
        <sz val="11"/>
        <color theme="1"/>
        <rFont val="华文楷体"/>
        <family val="2"/>
        <charset val="134"/>
        <scheme val="minor"/>
      </rPr>
      <t>-Z10</t>
    </r>
    <r>
      <rPr>
        <sz val="11"/>
        <color indexed="8"/>
        <rFont val="宋体"/>
        <family val="3"/>
        <charset val="134"/>
      </rPr>
      <t/>
    </r>
  </si>
  <si>
    <t>N-Z11</t>
  </si>
  <si>
    <r>
      <t>N</t>
    </r>
    <r>
      <rPr>
        <sz val="11"/>
        <color theme="1"/>
        <rFont val="华文楷体"/>
        <family val="2"/>
        <charset val="134"/>
        <scheme val="minor"/>
      </rPr>
      <t>-Z12</t>
    </r>
    <r>
      <rPr>
        <sz val="11"/>
        <color indexed="8"/>
        <rFont val="宋体"/>
        <family val="3"/>
        <charset val="134"/>
      </rPr>
      <t/>
    </r>
  </si>
  <si>
    <t>支座约束类型2</t>
    <phoneticPr fontId="1" type="noConversion"/>
  </si>
  <si>
    <t>横梁位置</t>
    <phoneticPr fontId="1" type="noConversion"/>
  </si>
  <si>
    <t>宽</t>
    <phoneticPr fontId="1" type="noConversion"/>
  </si>
  <si>
    <t>高</t>
    <phoneticPr fontId="1" type="noConversion"/>
  </si>
  <si>
    <t>截面</t>
    <phoneticPr fontId="1" type="noConversion"/>
  </si>
  <si>
    <t>编号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</si>
</sst>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 "/>
    <numFmt numFmtId="177" formatCode="0_ "/>
    <numFmt numFmtId="178" formatCode="0.00_);[Red]\(0.00\)"/>
    <numFmt numFmtId="179" formatCode="0.0000_ "/>
    <numFmt numFmtId="180" formatCode="0.000_ "/>
  </numFmts>
  <fonts count="10" x14ac:knownFonts="1">
    <font>
      <sz val="11"/>
      <color theme="1"/>
      <name val="华文楷体"/>
      <family val="2"/>
      <charset val="134"/>
      <scheme val="minor"/>
    </font>
    <font>
      <sz val="9"/>
      <name val="华文楷体"/>
      <family val="2"/>
      <charset val="134"/>
      <scheme val="minor"/>
    </font>
    <font>
      <sz val="11"/>
      <color rgb="FFFF0000"/>
      <name val="华文楷体"/>
      <family val="2"/>
      <charset val="134"/>
      <scheme val="minor"/>
    </font>
    <font>
      <vertAlign val="superscript"/>
      <sz val="11"/>
      <color theme="1"/>
      <name val="华文楷体"/>
      <family val="3"/>
      <charset val="134"/>
      <scheme val="minor"/>
    </font>
    <font>
      <sz val="24"/>
      <color theme="1"/>
      <name val="华文楷体"/>
      <family val="2"/>
      <charset val="134"/>
      <scheme val="minor"/>
    </font>
    <font>
      <sz val="24"/>
      <color theme="1"/>
      <name val="华文楷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26"/>
      <color theme="1"/>
      <name val="华文楷体"/>
      <family val="3"/>
      <charset val="134"/>
      <scheme val="minor"/>
    </font>
    <font>
      <b/>
      <sz val="14"/>
      <color theme="1"/>
      <name val="华文楷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7" fontId="0" fillId="5" borderId="1" xfId="0" applyNumberFormat="1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1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center" vertical="center"/>
    </xf>
    <xf numFmtId="180" fontId="0" fillId="0" borderId="10" xfId="0" applyNumberFormat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</cellXfs>
  <cellStyles count="1">
    <cellStyle name="常规" xfId="0" builtinId="0"/>
  </cellStyles>
  <dxfs count="117"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46509</xdr:colOff>
      <xdr:row>23</xdr:row>
      <xdr:rowOff>64166</xdr:rowOff>
    </xdr:from>
    <xdr:to>
      <xdr:col>7</xdr:col>
      <xdr:colOff>730068</xdr:colOff>
      <xdr:row>27</xdr:row>
      <xdr:rowOff>45944</xdr:rowOff>
    </xdr:to>
    <xdr:pic>
      <xdr:nvPicPr>
        <xdr:cNvPr id="2" name="图片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6744" y="4961137"/>
          <a:ext cx="4426324" cy="8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292478</xdr:colOff>
      <xdr:row>23</xdr:row>
      <xdr:rowOff>64993</xdr:rowOff>
    </xdr:from>
    <xdr:to>
      <xdr:col>14</xdr:col>
      <xdr:colOff>236449</xdr:colOff>
      <xdr:row>27</xdr:row>
      <xdr:rowOff>46771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6074713" y="4961964"/>
          <a:ext cx="4426324" cy="8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235323</xdr:colOff>
      <xdr:row>23</xdr:row>
      <xdr:rowOff>22412</xdr:rowOff>
    </xdr:from>
    <xdr:to>
      <xdr:col>17</xdr:col>
      <xdr:colOff>349623</xdr:colOff>
      <xdr:row>27</xdr:row>
      <xdr:rowOff>117662</xdr:rowOff>
    </xdr:to>
    <xdr:pic>
      <xdr:nvPicPr>
        <xdr:cNvPr id="4" name="图片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0147" y="4919383"/>
          <a:ext cx="719417" cy="9468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C3:J35" totalsRowShown="0" headerRowDxfId="116" dataDxfId="114" headerRowBorderDxfId="115" tableBorderDxfId="113" totalsRowBorderDxfId="112">
  <autoFilter ref="C3:J35"/>
  <tableColumns count="8">
    <tableColumn id="1" name="截面类型" dataDxfId="111"/>
    <tableColumn id="2" name="长度" dataDxfId="110">
      <calculatedColumnFormula>INDEX($D$41:$D$57,MATCH($C4,$C$41:$C$57,0),1)</calculatedColumnFormula>
    </tableColumn>
    <tableColumn id="3" name="A" dataDxfId="109">
      <calculatedColumnFormula>INDEX($E$41:$E$57,MATCH($C4,$C$41:$C$57,0),1)</calculatedColumnFormula>
    </tableColumn>
    <tableColumn id="4" name="IX" dataDxfId="108">
      <calculatedColumnFormula>INDEX($F$41:$F$57,MATCH($C4,$C$41:$C$57,0),1)</calculatedColumnFormula>
    </tableColumn>
    <tableColumn id="5" name="IY" dataDxfId="107">
      <calculatedColumnFormula>INDEX($G$41:$G$57,MATCH($C4,$C$41:$C$57,0),1)</calculatedColumnFormula>
    </tableColumn>
    <tableColumn id="6" name="IZ" dataDxfId="106">
      <calculatedColumnFormula>INDEX($H$41:$H$57,MATCH($C4,$C$41:$C$57,0),1)</calculatedColumnFormula>
    </tableColumn>
    <tableColumn id="7" name="TY" dataDxfId="105">
      <calculatedColumnFormula>INDEX($I$41:$I$57,MATCH($C4,$C$41:$C$57,0),1)</calculatedColumnFormula>
    </tableColumn>
    <tableColumn id="8" name="TZ" dataDxfId="104">
      <calculatedColumnFormula>INDEX($J$41:$J$57,MATCH($C4,$C$41:$C$57,0),1)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L3:S32" totalsRowShown="0" headerRowDxfId="103" dataDxfId="101" headerRowBorderDxfId="102" tableBorderDxfId="100" totalsRowBorderDxfId="99">
  <autoFilter ref="L3:S32"/>
  <tableColumns count="8">
    <tableColumn id="1" name="截面类型" dataDxfId="98"/>
    <tableColumn id="2" name="长度" dataDxfId="97">
      <calculatedColumnFormula>INDEX($D$41:$D$57,MATCH(L4,$C$41:$C$57,0),1)</calculatedColumnFormula>
    </tableColumn>
    <tableColumn id="3" name="A" dataDxfId="96">
      <calculatedColumnFormula>INDEX($E$41:$E$57,MATCH($L4,$C$41:$C$57,0),1)</calculatedColumnFormula>
    </tableColumn>
    <tableColumn id="4" name="IX" dataDxfId="95">
      <calculatedColumnFormula>INDEX($F$41:$F$57,MATCH($L4,$C$41:$C$57,0),1)</calculatedColumnFormula>
    </tableColumn>
    <tableColumn id="5" name="IY" dataDxfId="94">
      <calculatedColumnFormula>INDEX($G$41:$G$57,MATCH($L4,$C$41:$C$57,0),1)</calculatedColumnFormula>
    </tableColumn>
    <tableColumn id="6" name="IZ" dataDxfId="93">
      <calculatedColumnFormula>INDEX($H$41:$H$57,MATCH($L4,$C$41:$C$57,0),1)</calculatedColumnFormula>
    </tableColumn>
    <tableColumn id="7" name="TY" dataDxfId="92">
      <calculatedColumnFormula>INDEX($I$41:$I$57,MATCH(L4,$C$41:$C$57,0),1)</calculatedColumnFormula>
    </tableColumn>
    <tableColumn id="8" name="TZ" dataDxfId="91">
      <calculatedColumnFormula>INDEX($J$41:$J$57,MATCH(L4,$C$41:$C$57,0),1)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U3:AB32" totalsRowShown="0" headerRowDxfId="90" dataDxfId="88" headerRowBorderDxfId="89" tableBorderDxfId="87" totalsRowBorderDxfId="86">
  <autoFilter ref="U3:AB32"/>
  <tableColumns count="8">
    <tableColumn id="1" name="截面类型" dataDxfId="85"/>
    <tableColumn id="2" name="长度" dataDxfId="84">
      <calculatedColumnFormula>INDEX($D$41:$D$57,MATCH(U4,$C$41:$C$57,0),1)</calculatedColumnFormula>
    </tableColumn>
    <tableColumn id="3" name="A" dataDxfId="83">
      <calculatedColumnFormula>INDEX($E$41:$E$57,MATCH($U4,$C$41:$C$57,0),1)</calculatedColumnFormula>
    </tableColumn>
    <tableColumn id="4" name="IX" dataDxfId="82">
      <calculatedColumnFormula>INDEX($F$41:$F$57,MATCH($U4,$C$41:$C$57,0),1)</calculatedColumnFormula>
    </tableColumn>
    <tableColumn id="5" name="IY" dataDxfId="81">
      <calculatedColumnFormula>INDEX($G$41:$G$57,MATCH($U4,$C$41:$C$57,0),1)</calculatedColumnFormula>
    </tableColumn>
    <tableColumn id="6" name="IZ" dataDxfId="80">
      <calculatedColumnFormula>INDEX($H$41:$H$57,MATCH($U4,$C$41:$C$57,0),1)</calculatedColumnFormula>
    </tableColumn>
    <tableColumn id="7" name="TY" dataDxfId="79">
      <calculatedColumnFormula>INDEX($I$41:$I$57,MATCH(U4,$C$41:$C$57,0),1)</calculatedColumnFormula>
    </tableColumn>
    <tableColumn id="8" name="TZ" dataDxfId="78">
      <calculatedColumnFormula>INDEX($J$41:$J$57,MATCH(U4,$C$41:$C$57,0),1)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D3:AK32" totalsRowShown="0" headerRowDxfId="77" dataDxfId="75" headerRowBorderDxfId="76" tableBorderDxfId="74" totalsRowBorderDxfId="73">
  <autoFilter ref="AD3:AK32"/>
  <tableColumns count="8">
    <tableColumn id="1" name="截面类型" dataDxfId="72"/>
    <tableColumn id="2" name="长度" dataDxfId="71">
      <calculatedColumnFormula>INDEX($D$41:$D$57,MATCH(AD4,$C$41:$C$57,0),1)</calculatedColumnFormula>
    </tableColumn>
    <tableColumn id="3" name="A" dataDxfId="70">
      <calculatedColumnFormula>INDEX($E$41:$E$57,MATCH($AD4,$C$41:$C$57,0),1)</calculatedColumnFormula>
    </tableColumn>
    <tableColumn id="4" name="IX" dataDxfId="69">
      <calculatedColumnFormula>INDEX($F$41:$F$57,MATCH($AD4,$C$41:$C$57,0),1)</calculatedColumnFormula>
    </tableColumn>
    <tableColumn id="5" name="IY" dataDxfId="68">
      <calculatedColumnFormula>INDEX($G$41:$G$57,MATCH($AD4,$C$41:$C$57,0),1)</calculatedColumnFormula>
    </tableColumn>
    <tableColumn id="6" name="IZ" dataDxfId="67">
      <calculatedColumnFormula>INDEX($H$41:$H$57,MATCH($AD4,$C$41:$C$57,0),1)</calculatedColumnFormula>
    </tableColumn>
    <tableColumn id="7" name="TY" dataDxfId="66">
      <calculatedColumnFormula>INDEX($I$41:$I$57,MATCH(AD4,$C$41:$C$57,0),1)</calculatedColumnFormula>
    </tableColumn>
    <tableColumn id="8" name="TZ" dataDxfId="65">
      <calculatedColumnFormula>INDEX($J$41:$J$57,MATCH(AD4,$C$41:$C$57,0),1)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M3:AT32" totalsRowShown="0" headerRowDxfId="64" dataDxfId="62" headerRowBorderDxfId="63" tableBorderDxfId="61" totalsRowBorderDxfId="60">
  <autoFilter ref="AM3:AT32"/>
  <tableColumns count="8">
    <tableColumn id="1" name="截面类型" dataDxfId="59"/>
    <tableColumn id="2" name="长度" dataDxfId="58">
      <calculatedColumnFormula>INDEX($D$41:$D$57,MATCH(AM4,$C$41:$C$57,0),1)</calculatedColumnFormula>
    </tableColumn>
    <tableColumn id="3" name="A" dataDxfId="57">
      <calculatedColumnFormula>INDEX($E$41:$E$57,MATCH(AM4,$C$41:$C$57,0),1)</calculatedColumnFormula>
    </tableColumn>
    <tableColumn id="4" name="IX" dataDxfId="56">
      <calculatedColumnFormula>INDEX($F$41:$F$57,MATCH(AM4,$C$41:$C$57,0),1)</calculatedColumnFormula>
    </tableColumn>
    <tableColumn id="5" name="IY" dataDxfId="55">
      <calculatedColumnFormula>INDEX($G$41:$G$57,MATCH(AM4,$C$41:$C$57,0),1)</calculatedColumnFormula>
    </tableColumn>
    <tableColumn id="6" name="IZ" dataDxfId="54">
      <calculatedColumnFormula>INDEX($H$41:$H$57,MATCH(AM4,$C$41:$C$57,0),1)</calculatedColumnFormula>
    </tableColumn>
    <tableColumn id="7" name="TY" dataDxfId="53">
      <calculatedColumnFormula>INDEX($I$41:$I$57,MATCH(AM4,$C$41:$C$57,0),1)</calculatedColumnFormula>
    </tableColumn>
    <tableColumn id="8" name="TZ" dataDxfId="52">
      <calculatedColumnFormula>INDEX($J$41:$J$57,MATCH(AM4,$C$41:$C$57,0),1)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表6" displayName="表6" ref="AV3:BC35" totalsRowShown="0" headerRowDxfId="51" dataDxfId="49" headerRowBorderDxfId="50" tableBorderDxfId="48" totalsRowBorderDxfId="47">
  <autoFilter ref="AV3:BC35"/>
  <tableColumns count="8">
    <tableColumn id="1" name="截面类型" dataDxfId="46"/>
    <tableColumn id="2" name="长度" dataDxfId="45">
      <calculatedColumnFormula>INDEX($D$41:$D$57,MATCH(AV4,$C$41:$C$57,0),1)</calculatedColumnFormula>
    </tableColumn>
    <tableColumn id="3" name="A" dataDxfId="44">
      <calculatedColumnFormula>INDEX($E$41:$E$57,MATCH(AV4,$C$41:$C$57,0),1)</calculatedColumnFormula>
    </tableColumn>
    <tableColumn id="4" name="IX" dataDxfId="43">
      <calculatedColumnFormula>INDEX($F$41:$F$57,MATCH(AV4,$C$41:$C$57,0),1)</calculatedColumnFormula>
    </tableColumn>
    <tableColumn id="5" name="IY" dataDxfId="42">
      <calculatedColumnFormula>INDEX($G$41:$G$57,MATCH(AV4,$C$41:$C$57,0),1)</calculatedColumnFormula>
    </tableColumn>
    <tableColumn id="6" name="IZ" dataDxfId="41">
      <calculatedColumnFormula>INDEX($H$41:$H$57,MATCH(AV4,$C$41:$C$57,0),1)</calculatedColumnFormula>
    </tableColumn>
    <tableColumn id="7" name="TY" dataDxfId="40">
      <calculatedColumnFormula>INDEX($I$41:$I$57,MATCH(AV4,$C$41:$C$57,0),1)</calculatedColumnFormula>
    </tableColumn>
    <tableColumn id="8" name="TZ" dataDxfId="39">
      <calculatedColumnFormula>INDEX($J$41:$J$57,MATCH(AV4,$C$41:$C$57,0),1)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表7" displayName="表7" ref="B2:K20" totalsRowShown="0" headerRowDxfId="14" dataDxfId="12" headerRowBorderDxfId="13" tableBorderDxfId="11" totalsRowBorderDxfId="10">
  <autoFilter ref="B2:K20"/>
  <tableColumns count="10">
    <tableColumn id="1" name="序号" dataDxfId="9"/>
    <tableColumn id="2" name="编号" dataDxfId="8"/>
    <tableColumn id="3" name="面积" dataDxfId="7"/>
    <tableColumn id="4" name="     IYY     " dataDxfId="6"/>
    <tableColumn id="5" name="     IZZ     " dataDxfId="5"/>
    <tableColumn id="6" name="     IXX     " dataDxfId="4"/>
    <tableColumn id="10" name="宽" dataDxfId="3"/>
    <tableColumn id="9" name="高" dataDxfId="2"/>
    <tableColumn id="7" name="     OFFX    " dataDxfId="1"/>
    <tableColumn id="8" name="     OFFY    " dataDxfId="0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龙腾四海">
  <a:themeElements>
    <a:clrScheme name="龙腾四海">
      <a:dk1>
        <a:sysClr val="windowText" lastClr="000000"/>
      </a:dk1>
      <a:lt1>
        <a:sysClr val="window" lastClr="FFFFFF"/>
      </a:lt1>
      <a:dk2>
        <a:srgbClr val="001B36"/>
      </a:dk2>
      <a:lt2>
        <a:srgbClr val="EDF8FE"/>
      </a:lt2>
      <a:accent1>
        <a:srgbClr val="477AB1"/>
      </a:accent1>
      <a:accent2>
        <a:srgbClr val="51848E"/>
      </a:accent2>
      <a:accent3>
        <a:srgbClr val="7B9B57"/>
      </a:accent3>
      <a:accent4>
        <a:srgbClr val="8B8D8C"/>
      </a:accent4>
      <a:accent5>
        <a:srgbClr val="8B7396"/>
      </a:accent5>
      <a:accent6>
        <a:srgbClr val="E89A53"/>
      </a:accent6>
      <a:hlink>
        <a:srgbClr val="0080FF"/>
      </a:hlink>
      <a:folHlink>
        <a:srgbClr val="FF00FF"/>
      </a:folHlink>
    </a:clrScheme>
    <a:fontScheme name="龙腾四海">
      <a:majorFont>
        <a:latin typeface="Maiandra GD"/>
        <a:ea typeface=""/>
        <a:cs typeface=""/>
        <a:font script="CYRL" typeface="Times New Roman"/>
        <a:font script="GREK" typeface="Times New Roman"/>
        <a:font script="Jpan" typeface="ＭＳ Ｐゴシック"/>
        <a:font script="Hang" typeface="HY중고딕"/>
        <a:font script="Hans" typeface="隶书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ambria"/>
        <a:ea typeface=""/>
        <a:cs typeface=""/>
        <a:font script="Jpan" typeface="ＭＳ Ｐ明朝"/>
        <a:font script="Hang" typeface="HY견명조"/>
        <a:font script="Hans" typeface="华文楷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龙腾四海">
      <a:fillStyleLst>
        <a:solidFill>
          <a:schemeClr val="phClr">
            <a:tint val="100000"/>
            <a:shade val="100000"/>
            <a:hueMod val="100000"/>
            <a:satMod val="100000"/>
          </a:schemeClr>
        </a:solidFill>
        <a:gradFill rotWithShape="1">
          <a:gsLst>
            <a:gs pos="0">
              <a:schemeClr val="phClr">
                <a:tint val="100000"/>
                <a:shade val="50000"/>
                <a:hueMod val="100000"/>
                <a:satMod val="250000"/>
              </a:schemeClr>
            </a:gs>
            <a:gs pos="75000">
              <a:schemeClr val="phClr">
                <a:tint val="80000"/>
                <a:shade val="100000"/>
                <a:hueMod val="100000"/>
                <a:satMod val="375000"/>
              </a:schemeClr>
            </a:gs>
            <a:gs pos="100000">
              <a:schemeClr val="phClr">
                <a:tint val="50000"/>
                <a:shade val="100000"/>
                <a:hueMod val="100000"/>
                <a:satMod val="5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100000"/>
                <a:shade val="50000"/>
                <a:hueMod val="100000"/>
                <a:satMod val="100000"/>
              </a:schemeClr>
              <a:schemeClr val="phClr">
                <a:tint val="100000"/>
                <a:shade val="75000"/>
                <a:hueMod val="100000"/>
                <a:satMod val="100000"/>
              </a:schemeClr>
            </a:duotone>
          </a:blip>
          <a:tile tx="0" ty="0" sx="50000" sy="50000" flip="none" algn="ctr"/>
        </a:blipFill>
      </a:fillStyleLst>
      <a:lnStyleLst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>
              <a:schemeClr val="phClr">
                <a:tint val="100000"/>
                <a:shade val="100000"/>
                <a:hueMod val="100000"/>
                <a:satMod val="100000"/>
              </a:schemeClr>
            </a:glow>
          </a:effectLst>
        </a:effectStyle>
        <a:effectStyle>
          <a:effectLst>
            <a:glow>
              <a:schemeClr val="phClr">
                <a:tint val="100000"/>
                <a:shade val="100000"/>
                <a:hueMod val="100000"/>
                <a:satMod val="100000"/>
              </a:schemeClr>
            </a:glow>
          </a:effectLst>
          <a:scene3d>
            <a:camera prst="orthographicFront" fov="0">
              <a:rot lat="0" lon="0" rev="0"/>
            </a:camera>
            <a:lightRig rig="threePt" dir="tl">
              <a:rot lat="0" lon="0" rev="0"/>
            </a:lightRig>
          </a:scene3d>
          <a:sp3d prstMaterial="metal">
            <a:bevelT w="12700" h="12700" prst="relaxedInset"/>
            <a:contourClr>
              <a:schemeClr val="phClr">
                <a:tint val="10000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glow>
              <a:schemeClr val="phClr">
                <a:tint val="100000"/>
                <a:shade val="100000"/>
                <a:hueMod val="100000"/>
                <a:satMod val="100000"/>
              </a:schemeClr>
            </a:glow>
            <a:outerShdw blurRad="44450" dist="50800" dir="3300000" sx="99000" sy="99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contrasting" dir="tl">
              <a:rot lat="0" lon="0" rev="14220000"/>
            </a:lightRig>
          </a:scene3d>
          <a:sp3d prstMaterial="dkEdge">
            <a:bevelT w="63500" h="63500"/>
            <a:bevelB w="0" h="0"/>
            <a:contourClr>
              <a:schemeClr val="phClr">
                <a:tint val="100000"/>
                <a:shade val="100000"/>
                <a:hueMod val="100000"/>
                <a:satMod val="100000"/>
              </a:schemeClr>
            </a:contourClr>
          </a:sp3d>
        </a:effectStyle>
      </a:effectStyleLst>
      <a:bgFillStyleLst>
        <a:solidFill>
          <a:schemeClr val="phClr">
            <a:tint val="100000"/>
            <a:shade val="100000"/>
            <a:hueMod val="100000"/>
            <a:satMod val="100000"/>
          </a:schemeClr>
        </a:solidFill>
        <a:gradFill rotWithShape="1">
          <a:gsLst>
            <a:gs pos="0">
              <a:schemeClr val="bg1">
                <a:tint val="100000"/>
                <a:shade val="100000"/>
                <a:hueMod val="100000"/>
                <a:satMod val="150000"/>
              </a:schemeClr>
            </a:gs>
            <a:gs pos="55000">
              <a:schemeClr val="bg1">
                <a:tint val="100000"/>
                <a:shade val="90000"/>
                <a:hueMod val="100000"/>
                <a:satMod val="375000"/>
              </a:schemeClr>
            </a:gs>
            <a:gs pos="100000">
              <a:schemeClr val="phClr">
                <a:tint val="88000"/>
                <a:shade val="100000"/>
                <a:hueMod val="100000"/>
                <a:satMod val="500000"/>
              </a:schemeClr>
            </a:gs>
          </a:gsLst>
          <a:lin ang="5400000" scaled="1"/>
        </a:gradFill>
        <a:blipFill>
          <a:blip xmlns:r="http://schemas.openxmlformats.org/officeDocument/2006/relationships" r:embed="rId2">
            <a:duotone>
              <a:schemeClr val="phClr">
                <a:shade val="30000"/>
                <a:satMod val="555000"/>
              </a:schemeClr>
              <a:schemeClr val="phClr">
                <a:tint val="96000"/>
                <a:satMod val="120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300"/>
  <sheetViews>
    <sheetView workbookViewId="0">
      <selection activeCell="K10" sqref="K10"/>
    </sheetView>
  </sheetViews>
  <sheetFormatPr defaultRowHeight="16.5" x14ac:dyDescent="0.3"/>
  <cols>
    <col min="3" max="3" width="46.140625" customWidth="1"/>
    <col min="4" max="4" width="17.7109375" hidden="1" customWidth="1"/>
    <col min="5" max="5" width="21.28515625" hidden="1" customWidth="1"/>
  </cols>
  <sheetData>
    <row r="1" spans="1:5" x14ac:dyDescent="0.3">
      <c r="A1" s="1"/>
      <c r="B1" s="1"/>
      <c r="C1" s="1"/>
    </row>
    <row r="2" spans="1:5" ht="36.75" x14ac:dyDescent="0.3">
      <c r="A2" s="1"/>
      <c r="B2" s="37">
        <v>1</v>
      </c>
      <c r="C2" s="37" t="str">
        <f ca="1">IFERROR(HYPERLINK(工作表名&amp;"!A1",RIGHT(工作表名,LEN(工作表名)-FIND("]",工作表名))),"")</f>
        <v>目录</v>
      </c>
    </row>
    <row r="3" spans="1:5" ht="20.25" x14ac:dyDescent="0.3">
      <c r="A3" s="1"/>
      <c r="B3" s="38">
        <v>2</v>
      </c>
      <c r="C3" s="38" t="str">
        <f ca="1">IFERROR(HYPERLINK(工作表名&amp;"!A1",RIGHT(工作表名,LEN(工作表名)-FIND("]",工作表名))),"")</f>
        <v>主梁截面统计</v>
      </c>
      <c r="D3" t="str">
        <f t="shared" ref="D3:D63" ca="1" si="0">C3</f>
        <v>主梁截面统计</v>
      </c>
      <c r="E3" t="str">
        <f ca="1">IF(D3="","",D3&amp;"!")</f>
        <v>主梁截面统计!</v>
      </c>
    </row>
    <row r="4" spans="1:5" ht="20.25" x14ac:dyDescent="0.3">
      <c r="A4" s="1"/>
      <c r="B4" s="38">
        <v>3</v>
      </c>
      <c r="C4" s="38" t="str">
        <f ca="1">IFERROR(HYPERLINK(工作表名&amp;"!A1",RIGHT(工作表名,LEN(工作表名)-FIND("]",工作表名))),"")</f>
        <v>桥塔截面统计</v>
      </c>
      <c r="D4" t="str">
        <f t="shared" ca="1" si="0"/>
        <v>桥塔截面统计</v>
      </c>
      <c r="E4" t="str">
        <f t="shared" ref="E4:E64" ca="1" si="1">IF(D4="","",D4&amp;"!")</f>
        <v>桥塔截面统计!</v>
      </c>
    </row>
    <row r="5" spans="1:5" ht="20.25" x14ac:dyDescent="0.3">
      <c r="A5" s="1"/>
      <c r="B5" s="38">
        <v>4</v>
      </c>
      <c r="C5" s="38" t="str">
        <f ca="1">IFERROR(HYPERLINK(工作表名&amp;"!A1",RIGHT(工作表名,LEN(工作表名)-FIND("]",工作表名))),"")</f>
        <v>斜拉锁截面统计</v>
      </c>
      <c r="D5" t="str">
        <f t="shared" ca="1" si="0"/>
        <v>斜拉锁截面统计</v>
      </c>
      <c r="E5" t="str">
        <f t="shared" ca="1" si="1"/>
        <v>斜拉锁截面统计!</v>
      </c>
    </row>
    <row r="6" spans="1:5" ht="20.25" x14ac:dyDescent="0.3">
      <c r="A6" s="1"/>
      <c r="B6" s="38">
        <v>5</v>
      </c>
      <c r="C6" s="38" t="str">
        <f ca="1">IFERROR(HYPERLINK(工作表名&amp;"!A1",RIGHT(工作表名,LEN(工作表名)-FIND("]",工作表名))),"")</f>
        <v>主梁坐标</v>
      </c>
      <c r="D6" t="str">
        <f t="shared" ca="1" si="0"/>
        <v>主梁坐标</v>
      </c>
      <c r="E6" t="str">
        <f t="shared" ca="1" si="1"/>
        <v>主梁坐标!</v>
      </c>
    </row>
    <row r="7" spans="1:5" ht="20.25" x14ac:dyDescent="0.3">
      <c r="A7" s="1"/>
      <c r="B7" s="38">
        <v>6</v>
      </c>
      <c r="C7" s="38" t="str">
        <f ca="1">IFERROR(HYPERLINK(工作表名&amp;"!A1",RIGHT(工作表名,LEN(工作表名)-FIND("]",工作表名))),"")</f>
        <v>主塔坐标</v>
      </c>
      <c r="D7" t="str">
        <f t="shared" ca="1" si="0"/>
        <v>主塔坐标</v>
      </c>
      <c r="E7" t="str">
        <f t="shared" ca="1" si="1"/>
        <v>主塔坐标!</v>
      </c>
    </row>
    <row r="8" spans="1:5" ht="20.25" x14ac:dyDescent="0.3">
      <c r="A8" s="1"/>
      <c r="B8" s="38">
        <v>7</v>
      </c>
      <c r="C8" s="38" t="str">
        <f ca="1">IFERROR(HYPERLINK(工作表名&amp;"!A1",RIGHT(工作表名,LEN(工作表名)-FIND("]",工作表名))),"")</f>
        <v>主要截面特性</v>
      </c>
      <c r="D8" t="str">
        <f t="shared" ca="1" si="0"/>
        <v>主要截面特性</v>
      </c>
      <c r="E8" t="str">
        <f t="shared" ca="1" si="1"/>
        <v>主要截面特性!</v>
      </c>
    </row>
    <row r="9" spans="1:5" ht="20.25" x14ac:dyDescent="0.3">
      <c r="A9" s="1"/>
      <c r="B9" s="38">
        <v>8</v>
      </c>
      <c r="C9" s="38" t="str">
        <f ca="1">IFERROR(HYPERLINK(工作表名&amp;"!A1",RIGHT(工作表名,LEN(工作表名)-FIND("]",工作表名))),"")</f>
        <v/>
      </c>
      <c r="D9" t="str">
        <f t="shared" ca="1" si="0"/>
        <v/>
      </c>
      <c r="E9" t="str">
        <f t="shared" ca="1" si="1"/>
        <v/>
      </c>
    </row>
    <row r="10" spans="1:5" ht="20.25" x14ac:dyDescent="0.3">
      <c r="A10" s="1"/>
      <c r="B10" s="38">
        <v>9</v>
      </c>
      <c r="C10" s="38" t="str">
        <f ca="1">IFERROR(HYPERLINK(工作表名&amp;"!A1",RIGHT(工作表名,LEN(工作表名)-FIND("]",工作表名))),"")</f>
        <v/>
      </c>
      <c r="D10" t="str">
        <f t="shared" ca="1" si="0"/>
        <v/>
      </c>
      <c r="E10" t="str">
        <f t="shared" ca="1" si="1"/>
        <v/>
      </c>
    </row>
    <row r="11" spans="1:5" ht="20.25" x14ac:dyDescent="0.3">
      <c r="A11" s="1"/>
      <c r="B11" s="38">
        <v>10</v>
      </c>
      <c r="C11" s="38" t="str">
        <f ca="1">IFERROR(HYPERLINK(工作表名&amp;"!A1",RIGHT(工作表名,LEN(工作表名)-FIND("]",工作表名))),"")</f>
        <v/>
      </c>
      <c r="D11" t="str">
        <f t="shared" ca="1" si="0"/>
        <v/>
      </c>
      <c r="E11" t="str">
        <f t="shared" ca="1" si="1"/>
        <v/>
      </c>
    </row>
    <row r="12" spans="1:5" ht="20.25" x14ac:dyDescent="0.3">
      <c r="A12" s="1"/>
      <c r="B12" s="38">
        <v>11</v>
      </c>
      <c r="C12" s="38" t="str">
        <f ca="1">IFERROR(HYPERLINK(工作表名&amp;"!A1",RIGHT(工作表名,LEN(工作表名)-FIND("]",工作表名))),"")</f>
        <v/>
      </c>
      <c r="D12" t="str">
        <f t="shared" ca="1" si="0"/>
        <v/>
      </c>
      <c r="E12" t="str">
        <f t="shared" ca="1" si="1"/>
        <v/>
      </c>
    </row>
    <row r="13" spans="1:5" ht="20.25" x14ac:dyDescent="0.3">
      <c r="A13" s="1"/>
      <c r="B13" s="38">
        <v>12</v>
      </c>
      <c r="C13" s="38" t="str">
        <f ca="1">IFERROR(HYPERLINK(工作表名&amp;"!A1",RIGHT(工作表名,LEN(工作表名)-FIND("]",工作表名))),"")</f>
        <v/>
      </c>
      <c r="D13" t="str">
        <f t="shared" ca="1" si="0"/>
        <v/>
      </c>
      <c r="E13" t="str">
        <f t="shared" ca="1" si="1"/>
        <v/>
      </c>
    </row>
    <row r="14" spans="1:5" ht="20.25" x14ac:dyDescent="0.3">
      <c r="A14" s="1"/>
      <c r="B14" s="38">
        <v>13</v>
      </c>
      <c r="C14" s="38" t="str">
        <f ca="1">IFERROR(HYPERLINK(工作表名&amp;"!A1",RIGHT(工作表名,LEN(工作表名)-FIND("]",工作表名))),"")</f>
        <v/>
      </c>
      <c r="D14" t="str">
        <f t="shared" ca="1" si="0"/>
        <v/>
      </c>
      <c r="E14" t="str">
        <f t="shared" ca="1" si="1"/>
        <v/>
      </c>
    </row>
    <row r="15" spans="1:5" ht="20.25" x14ac:dyDescent="0.3">
      <c r="A15" s="1"/>
      <c r="B15" s="38">
        <v>14</v>
      </c>
      <c r="C15" s="38" t="str">
        <f ca="1">IFERROR(HYPERLINK(工作表名&amp;"!A1",RIGHT(工作表名,LEN(工作表名)-FIND("]",工作表名))),"")</f>
        <v/>
      </c>
      <c r="D15" t="str">
        <f t="shared" ca="1" si="0"/>
        <v/>
      </c>
      <c r="E15" t="str">
        <f t="shared" ca="1" si="1"/>
        <v/>
      </c>
    </row>
    <row r="16" spans="1:5" ht="20.25" x14ac:dyDescent="0.3">
      <c r="A16" s="1"/>
      <c r="B16" s="38">
        <v>15</v>
      </c>
      <c r="C16" s="38" t="str">
        <f ca="1">IFERROR(HYPERLINK(工作表名&amp;"!A1",RIGHT(工作表名,LEN(工作表名)-FIND("]",工作表名))),"")</f>
        <v/>
      </c>
      <c r="D16" t="str">
        <f t="shared" ca="1" si="0"/>
        <v/>
      </c>
      <c r="E16" t="str">
        <f t="shared" ca="1" si="1"/>
        <v/>
      </c>
    </row>
    <row r="17" spans="1:5" ht="20.25" x14ac:dyDescent="0.3">
      <c r="A17" s="1"/>
      <c r="B17" s="38">
        <v>16</v>
      </c>
      <c r="C17" s="38" t="str">
        <f ca="1">IFERROR(HYPERLINK(工作表名&amp;"!A1",RIGHT(工作表名,LEN(工作表名)-FIND("]",工作表名))),"")</f>
        <v/>
      </c>
      <c r="D17" t="str">
        <f t="shared" ca="1" si="0"/>
        <v/>
      </c>
      <c r="E17" t="str">
        <f t="shared" ca="1" si="1"/>
        <v/>
      </c>
    </row>
    <row r="18" spans="1:5" ht="20.25" x14ac:dyDescent="0.3">
      <c r="A18" s="1"/>
      <c r="B18" s="38">
        <v>17</v>
      </c>
      <c r="C18" s="38" t="str">
        <f ca="1">IFERROR(HYPERLINK(工作表名&amp;"!A1",RIGHT(工作表名,LEN(工作表名)-FIND("]",工作表名))),"")</f>
        <v/>
      </c>
      <c r="D18" t="str">
        <f t="shared" ca="1" si="0"/>
        <v/>
      </c>
      <c r="E18" t="str">
        <f t="shared" ca="1" si="1"/>
        <v/>
      </c>
    </row>
    <row r="19" spans="1:5" ht="20.25" x14ac:dyDescent="0.3">
      <c r="A19" s="1"/>
      <c r="B19" s="38">
        <v>18</v>
      </c>
      <c r="C19" s="38" t="str">
        <f ca="1">IFERROR(HYPERLINK(工作表名&amp;"!A1",RIGHT(工作表名,LEN(工作表名)-FIND("]",工作表名))),"")</f>
        <v/>
      </c>
      <c r="D19" t="str">
        <f t="shared" ca="1" si="0"/>
        <v/>
      </c>
      <c r="E19" t="str">
        <f t="shared" ca="1" si="1"/>
        <v/>
      </c>
    </row>
    <row r="20" spans="1:5" ht="20.25" x14ac:dyDescent="0.3">
      <c r="A20" s="1"/>
      <c r="B20" s="38">
        <v>19</v>
      </c>
      <c r="C20" s="38" t="str">
        <f ca="1">IFERROR(HYPERLINK(工作表名&amp;"!A1",RIGHT(工作表名,LEN(工作表名)-FIND("]",工作表名))),"")</f>
        <v/>
      </c>
      <c r="D20" t="str">
        <f t="shared" ca="1" si="0"/>
        <v/>
      </c>
      <c r="E20" t="str">
        <f t="shared" ca="1" si="1"/>
        <v/>
      </c>
    </row>
    <row r="21" spans="1:5" ht="20.25" x14ac:dyDescent="0.3">
      <c r="A21" s="1"/>
      <c r="B21" s="38">
        <v>20</v>
      </c>
      <c r="C21" s="38" t="str">
        <f ca="1">IFERROR(HYPERLINK(工作表名&amp;"!A1",RIGHT(工作表名,LEN(工作表名)-FIND("]",工作表名))),"")</f>
        <v/>
      </c>
      <c r="D21" t="str">
        <f t="shared" ca="1" si="0"/>
        <v/>
      </c>
      <c r="E21" t="str">
        <f t="shared" ca="1" si="1"/>
        <v/>
      </c>
    </row>
    <row r="22" spans="1:5" ht="20.25" x14ac:dyDescent="0.3">
      <c r="A22" s="1"/>
      <c r="B22" s="38">
        <v>21</v>
      </c>
      <c r="C22" s="38" t="str">
        <f ca="1">IFERROR(HYPERLINK(工作表名&amp;"!A1",RIGHT(工作表名,LEN(工作表名)-FIND("]",工作表名))),"")</f>
        <v/>
      </c>
      <c r="D22" t="str">
        <f t="shared" ca="1" si="0"/>
        <v/>
      </c>
      <c r="E22" t="str">
        <f t="shared" ca="1" si="1"/>
        <v/>
      </c>
    </row>
    <row r="23" spans="1:5" ht="20.25" x14ac:dyDescent="0.3">
      <c r="A23" s="1"/>
      <c r="B23" s="38">
        <v>22</v>
      </c>
      <c r="C23" s="38" t="str">
        <f ca="1">IFERROR(HYPERLINK(工作表名&amp;"!A1",RIGHT(工作表名,LEN(工作表名)-FIND("]",工作表名))),"")</f>
        <v/>
      </c>
      <c r="D23" t="str">
        <f t="shared" ca="1" si="0"/>
        <v/>
      </c>
      <c r="E23" t="str">
        <f t="shared" ca="1" si="1"/>
        <v/>
      </c>
    </row>
    <row r="24" spans="1:5" ht="20.25" x14ac:dyDescent="0.3">
      <c r="A24" s="1"/>
      <c r="B24" s="38">
        <v>23</v>
      </c>
      <c r="C24" s="38" t="str">
        <f ca="1">IFERROR(HYPERLINK(工作表名&amp;"!A1",RIGHT(工作表名,LEN(工作表名)-FIND("]",工作表名))),"")</f>
        <v/>
      </c>
      <c r="D24" t="str">
        <f t="shared" ca="1" si="0"/>
        <v/>
      </c>
      <c r="E24" t="str">
        <f t="shared" ca="1" si="1"/>
        <v/>
      </c>
    </row>
    <row r="25" spans="1:5" ht="20.25" x14ac:dyDescent="0.3">
      <c r="A25" s="1"/>
      <c r="B25" s="38">
        <v>24</v>
      </c>
      <c r="C25" s="38" t="str">
        <f ca="1">IFERROR(HYPERLINK(工作表名&amp;"!A1",RIGHT(工作表名,LEN(工作表名)-FIND("]",工作表名))),"")</f>
        <v/>
      </c>
      <c r="D25" t="str">
        <f t="shared" ca="1" si="0"/>
        <v/>
      </c>
      <c r="E25" t="str">
        <f t="shared" ca="1" si="1"/>
        <v/>
      </c>
    </row>
    <row r="26" spans="1:5" ht="20.25" x14ac:dyDescent="0.3">
      <c r="A26" s="1"/>
      <c r="B26" s="38">
        <v>25</v>
      </c>
      <c r="C26" s="38" t="str">
        <f ca="1">IFERROR(HYPERLINK(工作表名&amp;"!A1",RIGHT(工作表名,LEN(工作表名)-FIND("]",工作表名))),"")</f>
        <v/>
      </c>
      <c r="D26" t="str">
        <f t="shared" ca="1" si="0"/>
        <v/>
      </c>
      <c r="E26" t="str">
        <f t="shared" ca="1" si="1"/>
        <v/>
      </c>
    </row>
    <row r="27" spans="1:5" ht="20.25" x14ac:dyDescent="0.3">
      <c r="A27" s="1"/>
      <c r="B27" s="38">
        <v>26</v>
      </c>
      <c r="C27" s="38" t="str">
        <f ca="1">IFERROR(HYPERLINK(工作表名&amp;"!A1",RIGHT(工作表名,LEN(工作表名)-FIND("]",工作表名))),"")</f>
        <v/>
      </c>
      <c r="D27" t="str">
        <f t="shared" ca="1" si="0"/>
        <v/>
      </c>
      <c r="E27" t="str">
        <f t="shared" ca="1" si="1"/>
        <v/>
      </c>
    </row>
    <row r="28" spans="1:5" ht="20.25" x14ac:dyDescent="0.3">
      <c r="A28" s="1"/>
      <c r="B28" s="38">
        <v>27</v>
      </c>
      <c r="C28" s="38" t="str">
        <f ca="1">IFERROR(HYPERLINK(工作表名&amp;"!A1",RIGHT(工作表名,LEN(工作表名)-FIND("]",工作表名))),"")</f>
        <v/>
      </c>
      <c r="D28" t="str">
        <f t="shared" ca="1" si="0"/>
        <v/>
      </c>
      <c r="E28" t="str">
        <f t="shared" ca="1" si="1"/>
        <v/>
      </c>
    </row>
    <row r="29" spans="1:5" ht="20.25" x14ac:dyDescent="0.3">
      <c r="A29" s="1"/>
      <c r="B29" s="38">
        <v>28</v>
      </c>
      <c r="C29" s="38" t="str">
        <f ca="1">IFERROR(HYPERLINK(工作表名&amp;"!A1",RIGHT(工作表名,LEN(工作表名)-FIND("]",工作表名))),"")</f>
        <v/>
      </c>
      <c r="D29" t="str">
        <f t="shared" ca="1" si="0"/>
        <v/>
      </c>
      <c r="E29" t="str">
        <f t="shared" ca="1" si="1"/>
        <v/>
      </c>
    </row>
    <row r="30" spans="1:5" ht="20.25" x14ac:dyDescent="0.3">
      <c r="A30" s="1"/>
      <c r="B30" s="38">
        <v>29</v>
      </c>
      <c r="C30" s="38" t="str">
        <f ca="1">IFERROR(HYPERLINK(工作表名&amp;"!A1",RIGHT(工作表名,LEN(工作表名)-FIND("]",工作表名))),"")</f>
        <v/>
      </c>
      <c r="D30" t="str">
        <f t="shared" ca="1" si="0"/>
        <v/>
      </c>
      <c r="E30" t="str">
        <f t="shared" ca="1" si="1"/>
        <v/>
      </c>
    </row>
    <row r="31" spans="1:5" ht="20.25" x14ac:dyDescent="0.3">
      <c r="A31" s="1"/>
      <c r="B31" s="38">
        <v>30</v>
      </c>
      <c r="C31" s="38" t="str">
        <f ca="1">IFERROR(HYPERLINK(工作表名&amp;"!A1",RIGHT(工作表名,LEN(工作表名)-FIND("]",工作表名))),"")</f>
        <v/>
      </c>
      <c r="D31" t="str">
        <f t="shared" ca="1" si="0"/>
        <v/>
      </c>
      <c r="E31" t="str">
        <f t="shared" ca="1" si="1"/>
        <v/>
      </c>
    </row>
    <row r="32" spans="1:5" ht="20.25" x14ac:dyDescent="0.3">
      <c r="A32" s="1"/>
      <c r="B32" s="38">
        <v>31</v>
      </c>
      <c r="C32" s="38" t="str">
        <f ca="1">IFERROR(HYPERLINK(工作表名&amp;"!A1",RIGHT(工作表名,LEN(工作表名)-FIND("]",工作表名))),"")</f>
        <v/>
      </c>
      <c r="D32" t="str">
        <f t="shared" ca="1" si="0"/>
        <v/>
      </c>
      <c r="E32" t="str">
        <f t="shared" ca="1" si="1"/>
        <v/>
      </c>
    </row>
    <row r="33" spans="1:5" ht="20.25" x14ac:dyDescent="0.3">
      <c r="A33" s="1"/>
      <c r="B33" s="38">
        <v>32</v>
      </c>
      <c r="C33" s="38" t="str">
        <f ca="1">IFERROR(HYPERLINK(工作表名&amp;"!A1",RIGHT(工作表名,LEN(工作表名)-FIND("]",工作表名))),"")</f>
        <v/>
      </c>
      <c r="D33" t="str">
        <f t="shared" ca="1" si="0"/>
        <v/>
      </c>
      <c r="E33" t="str">
        <f t="shared" ca="1" si="1"/>
        <v/>
      </c>
    </row>
    <row r="34" spans="1:5" ht="20.25" x14ac:dyDescent="0.3">
      <c r="A34" s="1"/>
      <c r="B34" s="38">
        <v>33</v>
      </c>
      <c r="C34" s="38" t="str">
        <f ca="1">IFERROR(HYPERLINK(工作表名&amp;"!A1",RIGHT(工作表名,LEN(工作表名)-FIND("]",工作表名))),"")</f>
        <v/>
      </c>
      <c r="D34" t="str">
        <f t="shared" ca="1" si="0"/>
        <v/>
      </c>
      <c r="E34" t="str">
        <f t="shared" ca="1" si="1"/>
        <v/>
      </c>
    </row>
    <row r="35" spans="1:5" ht="20.25" x14ac:dyDescent="0.3">
      <c r="A35" s="1"/>
      <c r="B35" s="38">
        <v>34</v>
      </c>
      <c r="C35" s="38" t="str">
        <f ca="1">IFERROR(HYPERLINK(工作表名&amp;"!A1",RIGHT(工作表名,LEN(工作表名)-FIND("]",工作表名))),"")</f>
        <v/>
      </c>
      <c r="D35" t="str">
        <f t="shared" ca="1" si="0"/>
        <v/>
      </c>
      <c r="E35" t="str">
        <f t="shared" ca="1" si="1"/>
        <v/>
      </c>
    </row>
    <row r="36" spans="1:5" ht="20.25" x14ac:dyDescent="0.3">
      <c r="A36" s="1"/>
      <c r="B36" s="38">
        <v>35</v>
      </c>
      <c r="C36" s="38" t="str">
        <f ca="1">IFERROR(HYPERLINK(工作表名&amp;"!A1",RIGHT(工作表名,LEN(工作表名)-FIND("]",工作表名))),"")</f>
        <v/>
      </c>
      <c r="D36" t="str">
        <f t="shared" ca="1" si="0"/>
        <v/>
      </c>
      <c r="E36" t="str">
        <f t="shared" ca="1" si="1"/>
        <v/>
      </c>
    </row>
    <row r="37" spans="1:5" ht="20.25" x14ac:dyDescent="0.3">
      <c r="A37" s="1"/>
      <c r="B37" s="38">
        <v>36</v>
      </c>
      <c r="C37" s="38" t="str">
        <f ca="1">IFERROR(HYPERLINK(工作表名&amp;"!A1",RIGHT(工作表名,LEN(工作表名)-FIND("]",工作表名))),"")</f>
        <v/>
      </c>
      <c r="D37" t="str">
        <f t="shared" ca="1" si="0"/>
        <v/>
      </c>
      <c r="E37" t="str">
        <f t="shared" ca="1" si="1"/>
        <v/>
      </c>
    </row>
    <row r="38" spans="1:5" ht="20.25" x14ac:dyDescent="0.3">
      <c r="A38" s="1"/>
      <c r="B38" s="38">
        <v>37</v>
      </c>
      <c r="C38" s="38" t="str">
        <f ca="1">IFERROR(HYPERLINK(工作表名&amp;"!A1",RIGHT(工作表名,LEN(工作表名)-FIND("]",工作表名))),"")</f>
        <v/>
      </c>
      <c r="D38" t="str">
        <f t="shared" ca="1" si="0"/>
        <v/>
      </c>
      <c r="E38" t="str">
        <f t="shared" ca="1" si="1"/>
        <v/>
      </c>
    </row>
    <row r="39" spans="1:5" ht="20.25" x14ac:dyDescent="0.3">
      <c r="A39" s="1"/>
      <c r="B39" s="38">
        <v>38</v>
      </c>
      <c r="C39" s="38" t="str">
        <f ca="1">IFERROR(HYPERLINK(工作表名&amp;"!A1",RIGHT(工作表名,LEN(工作表名)-FIND("]",工作表名))),"")</f>
        <v/>
      </c>
      <c r="D39" t="str">
        <f t="shared" ca="1" si="0"/>
        <v/>
      </c>
      <c r="E39" t="str">
        <f t="shared" ca="1" si="1"/>
        <v/>
      </c>
    </row>
    <row r="40" spans="1:5" ht="20.25" x14ac:dyDescent="0.3">
      <c r="A40" s="1"/>
      <c r="B40" s="38">
        <v>39</v>
      </c>
      <c r="C40" s="38" t="str">
        <f ca="1">IFERROR(HYPERLINK(工作表名&amp;"!A1",RIGHT(工作表名,LEN(工作表名)-FIND("]",工作表名))),"")</f>
        <v/>
      </c>
      <c r="D40" t="str">
        <f t="shared" ca="1" si="0"/>
        <v/>
      </c>
      <c r="E40" t="str">
        <f t="shared" ca="1" si="1"/>
        <v/>
      </c>
    </row>
    <row r="41" spans="1:5" ht="20.25" x14ac:dyDescent="0.3">
      <c r="A41" s="1"/>
      <c r="B41" s="38">
        <v>40</v>
      </c>
      <c r="C41" s="38" t="str">
        <f ca="1">IFERROR(HYPERLINK(工作表名&amp;"!A1",RIGHT(工作表名,LEN(工作表名)-FIND("]",工作表名))),"")</f>
        <v/>
      </c>
      <c r="D41" t="str">
        <f t="shared" ca="1" si="0"/>
        <v/>
      </c>
      <c r="E41" t="str">
        <f t="shared" ca="1" si="1"/>
        <v/>
      </c>
    </row>
    <row r="42" spans="1:5" ht="20.25" x14ac:dyDescent="0.3">
      <c r="A42" s="1"/>
      <c r="B42" s="38">
        <v>41</v>
      </c>
      <c r="C42" s="38" t="str">
        <f ca="1">IFERROR(HYPERLINK(工作表名&amp;"!A1",RIGHT(工作表名,LEN(工作表名)-FIND("]",工作表名))),"")</f>
        <v/>
      </c>
      <c r="D42" t="str">
        <f t="shared" ca="1" si="0"/>
        <v/>
      </c>
      <c r="E42" t="str">
        <f t="shared" ca="1" si="1"/>
        <v/>
      </c>
    </row>
    <row r="43" spans="1:5" ht="20.25" x14ac:dyDescent="0.3">
      <c r="A43" s="1"/>
      <c r="B43" s="38">
        <v>42</v>
      </c>
      <c r="C43" s="38" t="str">
        <f ca="1">IFERROR(HYPERLINK(工作表名&amp;"!A1",RIGHT(工作表名,LEN(工作表名)-FIND("]",工作表名))),"")</f>
        <v/>
      </c>
      <c r="D43" t="str">
        <f t="shared" ca="1" si="0"/>
        <v/>
      </c>
      <c r="E43" t="str">
        <f t="shared" ca="1" si="1"/>
        <v/>
      </c>
    </row>
    <row r="44" spans="1:5" ht="20.25" x14ac:dyDescent="0.3">
      <c r="A44" s="1"/>
      <c r="B44" s="38">
        <v>43</v>
      </c>
      <c r="C44" s="38" t="str">
        <f ca="1">IFERROR(HYPERLINK(工作表名&amp;"!A1",RIGHT(工作表名,LEN(工作表名)-FIND("]",工作表名))),"")</f>
        <v/>
      </c>
      <c r="D44" t="str">
        <f t="shared" ca="1" si="0"/>
        <v/>
      </c>
      <c r="E44" t="str">
        <f t="shared" ca="1" si="1"/>
        <v/>
      </c>
    </row>
    <row r="45" spans="1:5" ht="20.25" x14ac:dyDescent="0.3">
      <c r="A45" s="1"/>
      <c r="B45" s="38">
        <v>44</v>
      </c>
      <c r="C45" s="38" t="str">
        <f ca="1">IFERROR(HYPERLINK(工作表名&amp;"!A1",RIGHT(工作表名,LEN(工作表名)-FIND("]",工作表名))),"")</f>
        <v/>
      </c>
      <c r="D45" t="str">
        <f t="shared" ca="1" si="0"/>
        <v/>
      </c>
      <c r="E45" t="str">
        <f t="shared" ca="1" si="1"/>
        <v/>
      </c>
    </row>
    <row r="46" spans="1:5" ht="20.25" x14ac:dyDescent="0.3">
      <c r="A46" s="1"/>
      <c r="B46" s="38">
        <v>45</v>
      </c>
      <c r="C46" s="38" t="str">
        <f ca="1">IFERROR(HYPERLINK(工作表名&amp;"!A1",RIGHT(工作表名,LEN(工作表名)-FIND("]",工作表名))),"")</f>
        <v/>
      </c>
      <c r="D46" t="str">
        <f t="shared" ca="1" si="0"/>
        <v/>
      </c>
      <c r="E46" t="str">
        <f t="shared" ca="1" si="1"/>
        <v/>
      </c>
    </row>
    <row r="47" spans="1:5" ht="20.25" x14ac:dyDescent="0.3">
      <c r="A47" s="1"/>
      <c r="B47" s="38">
        <v>46</v>
      </c>
      <c r="C47" s="38" t="str">
        <f ca="1">IFERROR(HYPERLINK(工作表名&amp;"!A1",RIGHT(工作表名,LEN(工作表名)-FIND("]",工作表名))),"")</f>
        <v/>
      </c>
      <c r="D47" t="str">
        <f t="shared" ca="1" si="0"/>
        <v/>
      </c>
      <c r="E47" t="str">
        <f t="shared" ca="1" si="1"/>
        <v/>
      </c>
    </row>
    <row r="48" spans="1:5" ht="20.25" x14ac:dyDescent="0.3">
      <c r="A48" s="1"/>
      <c r="B48" s="38">
        <v>47</v>
      </c>
      <c r="C48" s="38" t="str">
        <f ca="1">IFERROR(HYPERLINK(工作表名&amp;"!A1",RIGHT(工作表名,LEN(工作表名)-FIND("]",工作表名))),"")</f>
        <v/>
      </c>
      <c r="D48" t="str">
        <f t="shared" ca="1" si="0"/>
        <v/>
      </c>
      <c r="E48" t="str">
        <f t="shared" ca="1" si="1"/>
        <v/>
      </c>
    </row>
    <row r="49" spans="1:5" ht="20.25" x14ac:dyDescent="0.3">
      <c r="A49" s="1"/>
      <c r="B49" s="38">
        <v>48</v>
      </c>
      <c r="C49" s="38" t="str">
        <f ca="1">IFERROR(HYPERLINK(工作表名&amp;"!A1",RIGHT(工作表名,LEN(工作表名)-FIND("]",工作表名))),"")</f>
        <v/>
      </c>
      <c r="D49" t="str">
        <f t="shared" ca="1" si="0"/>
        <v/>
      </c>
      <c r="E49" t="str">
        <f t="shared" ca="1" si="1"/>
        <v/>
      </c>
    </row>
    <row r="50" spans="1:5" ht="20.25" x14ac:dyDescent="0.3">
      <c r="A50" s="1"/>
      <c r="B50" s="38">
        <v>49</v>
      </c>
      <c r="C50" s="38" t="str">
        <f ca="1">IFERROR(HYPERLINK(工作表名&amp;"!A1",RIGHT(工作表名,LEN(工作表名)-FIND("]",工作表名))),"")</f>
        <v/>
      </c>
      <c r="D50" t="str">
        <f t="shared" ca="1" si="0"/>
        <v/>
      </c>
      <c r="E50" t="str">
        <f t="shared" ca="1" si="1"/>
        <v/>
      </c>
    </row>
    <row r="51" spans="1:5" ht="20.25" x14ac:dyDescent="0.3">
      <c r="A51" s="1"/>
      <c r="B51" s="38">
        <v>50</v>
      </c>
      <c r="C51" s="38" t="str">
        <f ca="1">IFERROR(HYPERLINK(工作表名&amp;"!A1",RIGHT(工作表名,LEN(工作表名)-FIND("]",工作表名))),"")</f>
        <v/>
      </c>
      <c r="D51" t="str">
        <f t="shared" ca="1" si="0"/>
        <v/>
      </c>
      <c r="E51" t="str">
        <f t="shared" ca="1" si="1"/>
        <v/>
      </c>
    </row>
    <row r="52" spans="1:5" ht="20.25" x14ac:dyDescent="0.3">
      <c r="A52" s="1"/>
      <c r="B52" s="38">
        <v>51</v>
      </c>
      <c r="C52" s="38" t="str">
        <f ca="1">IFERROR(HYPERLINK(工作表名&amp;"!A1",RIGHT(工作表名,LEN(工作表名)-FIND("]",工作表名))),"")</f>
        <v/>
      </c>
      <c r="D52" t="str">
        <f t="shared" ca="1" si="0"/>
        <v/>
      </c>
      <c r="E52" t="str">
        <f t="shared" ca="1" si="1"/>
        <v/>
      </c>
    </row>
    <row r="53" spans="1:5" ht="20.25" x14ac:dyDescent="0.3">
      <c r="A53" s="1"/>
      <c r="B53" s="38">
        <v>52</v>
      </c>
      <c r="C53" s="38" t="str">
        <f ca="1">IFERROR(HYPERLINK(工作表名&amp;"!A1",RIGHT(工作表名,LEN(工作表名)-FIND("]",工作表名))),"")</f>
        <v/>
      </c>
      <c r="D53" t="str">
        <f t="shared" ca="1" si="0"/>
        <v/>
      </c>
      <c r="E53" t="str">
        <f t="shared" ca="1" si="1"/>
        <v/>
      </c>
    </row>
    <row r="54" spans="1:5" ht="20.25" x14ac:dyDescent="0.3">
      <c r="A54" s="1"/>
      <c r="B54" s="38">
        <v>53</v>
      </c>
      <c r="C54" s="38" t="str">
        <f ca="1">IFERROR(HYPERLINK(工作表名&amp;"!A1",RIGHT(工作表名,LEN(工作表名)-FIND("]",工作表名))),"")</f>
        <v/>
      </c>
      <c r="D54" t="str">
        <f t="shared" ca="1" si="0"/>
        <v/>
      </c>
      <c r="E54" t="str">
        <f t="shared" ca="1" si="1"/>
        <v/>
      </c>
    </row>
    <row r="55" spans="1:5" ht="20.25" x14ac:dyDescent="0.3">
      <c r="A55" s="1"/>
      <c r="B55" s="38">
        <v>54</v>
      </c>
      <c r="C55" s="38" t="str">
        <f ca="1">IFERROR(HYPERLINK(工作表名&amp;"!A1",RIGHT(工作表名,LEN(工作表名)-FIND("]",工作表名))),"")</f>
        <v/>
      </c>
      <c r="D55" t="str">
        <f t="shared" ca="1" si="0"/>
        <v/>
      </c>
      <c r="E55" t="str">
        <f t="shared" ca="1" si="1"/>
        <v/>
      </c>
    </row>
    <row r="56" spans="1:5" ht="20.25" x14ac:dyDescent="0.3">
      <c r="A56" s="1"/>
      <c r="B56" s="38">
        <v>55</v>
      </c>
      <c r="C56" s="38" t="str">
        <f ca="1">IFERROR(HYPERLINK(工作表名&amp;"!A1",RIGHT(工作表名,LEN(工作表名)-FIND("]",工作表名))),"")</f>
        <v/>
      </c>
      <c r="D56" t="str">
        <f t="shared" ca="1" si="0"/>
        <v/>
      </c>
      <c r="E56" t="str">
        <f t="shared" ca="1" si="1"/>
        <v/>
      </c>
    </row>
    <row r="57" spans="1:5" ht="20.25" x14ac:dyDescent="0.3">
      <c r="A57" s="1"/>
      <c r="B57" s="38">
        <v>56</v>
      </c>
      <c r="C57" s="38" t="str">
        <f ca="1">IFERROR(HYPERLINK(工作表名&amp;"!A1",RIGHT(工作表名,LEN(工作表名)-FIND("]",工作表名))),"")</f>
        <v/>
      </c>
      <c r="D57" t="str">
        <f t="shared" ca="1" si="0"/>
        <v/>
      </c>
      <c r="E57" t="str">
        <f t="shared" ca="1" si="1"/>
        <v/>
      </c>
    </row>
    <row r="58" spans="1:5" ht="20.25" x14ac:dyDescent="0.3">
      <c r="A58" s="1"/>
      <c r="B58" s="38">
        <v>57</v>
      </c>
      <c r="C58" s="38" t="str">
        <f ca="1">IFERROR(HYPERLINK(工作表名&amp;"!A1",RIGHT(工作表名,LEN(工作表名)-FIND("]",工作表名))),"")</f>
        <v/>
      </c>
      <c r="D58" t="str">
        <f t="shared" ca="1" si="0"/>
        <v/>
      </c>
      <c r="E58" t="str">
        <f t="shared" ca="1" si="1"/>
        <v/>
      </c>
    </row>
    <row r="59" spans="1:5" ht="20.25" x14ac:dyDescent="0.3">
      <c r="A59" s="1"/>
      <c r="B59" s="38">
        <v>58</v>
      </c>
      <c r="C59" s="38" t="str">
        <f ca="1">IFERROR(HYPERLINK(工作表名&amp;"!A1",RIGHT(工作表名,LEN(工作表名)-FIND("]",工作表名))),"")</f>
        <v/>
      </c>
      <c r="D59" t="str">
        <f t="shared" ca="1" si="0"/>
        <v/>
      </c>
      <c r="E59" t="str">
        <f t="shared" ca="1" si="1"/>
        <v/>
      </c>
    </row>
    <row r="60" spans="1:5" ht="20.25" x14ac:dyDescent="0.3">
      <c r="A60" s="1"/>
      <c r="B60" s="38">
        <v>59</v>
      </c>
      <c r="C60" s="38" t="str">
        <f ca="1">IFERROR(HYPERLINK(工作表名&amp;"!A1",RIGHT(工作表名,LEN(工作表名)-FIND("]",工作表名))),"")</f>
        <v/>
      </c>
      <c r="D60" t="str">
        <f t="shared" ca="1" si="0"/>
        <v/>
      </c>
      <c r="E60" t="str">
        <f t="shared" ca="1" si="1"/>
        <v/>
      </c>
    </row>
    <row r="61" spans="1:5" ht="20.25" x14ac:dyDescent="0.3">
      <c r="A61" s="1"/>
      <c r="B61" s="38">
        <v>60</v>
      </c>
      <c r="C61" s="38" t="str">
        <f ca="1">IFERROR(HYPERLINK(工作表名&amp;"!A1",RIGHT(工作表名,LEN(工作表名)-FIND("]",工作表名))),"")</f>
        <v/>
      </c>
      <c r="D61" t="str">
        <f t="shared" ca="1" si="0"/>
        <v/>
      </c>
      <c r="E61" t="str">
        <f t="shared" ca="1" si="1"/>
        <v/>
      </c>
    </row>
    <row r="62" spans="1:5" ht="20.25" x14ac:dyDescent="0.3">
      <c r="A62" s="1"/>
      <c r="B62" s="38">
        <v>61</v>
      </c>
      <c r="C62" s="38" t="str">
        <f ca="1">IFERROR(HYPERLINK(工作表名&amp;"!A1",RIGHT(工作表名,LEN(工作表名)-FIND("]",工作表名))),"")</f>
        <v/>
      </c>
      <c r="D62" t="str">
        <f t="shared" ca="1" si="0"/>
        <v/>
      </c>
      <c r="E62" t="str">
        <f t="shared" ca="1" si="1"/>
        <v/>
      </c>
    </row>
    <row r="63" spans="1:5" ht="20.25" x14ac:dyDescent="0.3">
      <c r="A63" s="1"/>
      <c r="B63" s="38">
        <v>62</v>
      </c>
      <c r="C63" s="38" t="str">
        <f ca="1">IFERROR(HYPERLINK(工作表名&amp;"!A1",RIGHT(工作表名,LEN(工作表名)-FIND("]",工作表名))),"")</f>
        <v/>
      </c>
      <c r="D63" t="str">
        <f t="shared" ca="1" si="0"/>
        <v/>
      </c>
      <c r="E63" t="str">
        <f t="shared" ca="1" si="1"/>
        <v/>
      </c>
    </row>
    <row r="64" spans="1:5" ht="20.25" x14ac:dyDescent="0.3">
      <c r="A64" s="1"/>
      <c r="B64" s="38">
        <v>63</v>
      </c>
      <c r="C64" s="38" t="str">
        <f ca="1">IFERROR(HYPERLINK(工作表名&amp;"!A1",RIGHT(工作表名,LEN(工作表名)-FIND("]",工作表名))),"")</f>
        <v/>
      </c>
      <c r="E64" t="str">
        <f t="shared" si="1"/>
        <v/>
      </c>
    </row>
    <row r="65" spans="1:3" ht="20.25" x14ac:dyDescent="0.3">
      <c r="A65" s="1"/>
      <c r="B65" s="38">
        <v>64</v>
      </c>
      <c r="C65" s="38" t="str">
        <f ca="1">IFERROR(HYPERLINK(工作表名&amp;"!A1",RIGHT(工作表名,LEN(工作表名)-FIND("]",工作表名))),"")</f>
        <v/>
      </c>
    </row>
    <row r="66" spans="1:3" ht="20.25" x14ac:dyDescent="0.3">
      <c r="A66" s="1"/>
      <c r="B66" s="38">
        <v>65</v>
      </c>
      <c r="C66" s="38" t="str">
        <f ca="1">IFERROR(HYPERLINK(工作表名&amp;"!A1",RIGHT(工作表名,LEN(工作表名)-FIND("]",工作表名))),"")</f>
        <v/>
      </c>
    </row>
    <row r="67" spans="1:3" ht="20.25" x14ac:dyDescent="0.3">
      <c r="A67" s="1"/>
      <c r="B67" s="38">
        <v>66</v>
      </c>
      <c r="C67" s="38" t="str">
        <f ca="1">IFERROR(HYPERLINK(工作表名&amp;"!A1",RIGHT(工作表名,LEN(工作表名)-FIND("]",工作表名))),"")</f>
        <v/>
      </c>
    </row>
    <row r="68" spans="1:3" ht="20.25" x14ac:dyDescent="0.3">
      <c r="A68" s="1"/>
      <c r="B68" s="38">
        <v>67</v>
      </c>
      <c r="C68" s="38" t="str">
        <f ca="1">IFERROR(HYPERLINK(工作表名&amp;"!A1",RIGHT(工作表名,LEN(工作表名)-FIND("]",工作表名))),"")</f>
        <v/>
      </c>
    </row>
    <row r="69" spans="1:3" ht="20.25" x14ac:dyDescent="0.3">
      <c r="A69" s="1"/>
      <c r="B69" s="38">
        <v>68</v>
      </c>
      <c r="C69" s="38" t="str">
        <f ca="1">IFERROR(HYPERLINK(工作表名&amp;"!A1",RIGHT(工作表名,LEN(工作表名)-FIND("]",工作表名))),"")</f>
        <v/>
      </c>
    </row>
    <row r="70" spans="1:3" ht="20.25" x14ac:dyDescent="0.3">
      <c r="A70" s="1"/>
      <c r="B70" s="38">
        <v>69</v>
      </c>
      <c r="C70" s="38" t="str">
        <f ca="1">IFERROR(HYPERLINK(工作表名&amp;"!A1",RIGHT(工作表名,LEN(工作表名)-FIND("]",工作表名))),"")</f>
        <v/>
      </c>
    </row>
    <row r="71" spans="1:3" ht="20.25" x14ac:dyDescent="0.3">
      <c r="A71" s="1"/>
      <c r="B71" s="38">
        <v>70</v>
      </c>
      <c r="C71" s="38" t="str">
        <f ca="1">IFERROR(HYPERLINK(工作表名&amp;"!A1",RIGHT(工作表名,LEN(工作表名)-FIND("]",工作表名))),"")</f>
        <v/>
      </c>
    </row>
    <row r="72" spans="1:3" ht="20.25" x14ac:dyDescent="0.3">
      <c r="A72" s="1"/>
      <c r="B72" s="38">
        <v>71</v>
      </c>
      <c r="C72" s="38" t="str">
        <f ca="1">IFERROR(HYPERLINK(工作表名&amp;"!A1",RIGHT(工作表名,LEN(工作表名)-FIND("]",工作表名))),"")</f>
        <v/>
      </c>
    </row>
    <row r="73" spans="1:3" ht="20.25" x14ac:dyDescent="0.3">
      <c r="A73" s="1"/>
      <c r="B73" s="38">
        <v>72</v>
      </c>
      <c r="C73" s="38" t="str">
        <f ca="1">IFERROR(HYPERLINK(工作表名&amp;"!A1",RIGHT(工作表名,LEN(工作表名)-FIND("]",工作表名))),"")</f>
        <v/>
      </c>
    </row>
    <row r="74" spans="1:3" ht="20.25" x14ac:dyDescent="0.3">
      <c r="A74" s="1"/>
      <c r="B74" s="38">
        <v>73</v>
      </c>
      <c r="C74" s="38" t="str">
        <f ca="1">IFERROR(HYPERLINK(工作表名&amp;"!A1",RIGHT(工作表名,LEN(工作表名)-FIND("]",工作表名))),"")</f>
        <v/>
      </c>
    </row>
    <row r="75" spans="1:3" ht="20.25" x14ac:dyDescent="0.3">
      <c r="A75" s="1"/>
      <c r="B75" s="38">
        <v>74</v>
      </c>
      <c r="C75" s="38" t="str">
        <f ca="1">IFERROR(HYPERLINK(工作表名&amp;"!A1",RIGHT(工作表名,LEN(工作表名)-FIND("]",工作表名))),"")</f>
        <v/>
      </c>
    </row>
    <row r="76" spans="1:3" ht="20.25" x14ac:dyDescent="0.3">
      <c r="A76" s="1"/>
      <c r="B76" s="38">
        <v>75</v>
      </c>
      <c r="C76" s="38" t="str">
        <f ca="1">IFERROR(HYPERLINK(工作表名&amp;"!A1",RIGHT(工作表名,LEN(工作表名)-FIND("]",工作表名))),"")</f>
        <v/>
      </c>
    </row>
    <row r="77" spans="1:3" ht="20.25" x14ac:dyDescent="0.3">
      <c r="A77" s="1"/>
      <c r="B77" s="38">
        <v>76</v>
      </c>
      <c r="C77" s="38" t="str">
        <f ca="1">IFERROR(HYPERLINK(工作表名&amp;"!A1",RIGHT(工作表名,LEN(工作表名)-FIND("]",工作表名))),"")</f>
        <v/>
      </c>
    </row>
    <row r="78" spans="1:3" ht="20.25" x14ac:dyDescent="0.3">
      <c r="A78" s="1"/>
      <c r="B78" s="38">
        <v>77</v>
      </c>
      <c r="C78" s="38" t="str">
        <f ca="1">IFERROR(HYPERLINK(工作表名&amp;"!A1",RIGHT(工作表名,LEN(工作表名)-FIND("]",工作表名))),"")</f>
        <v/>
      </c>
    </row>
    <row r="79" spans="1:3" ht="20.25" x14ac:dyDescent="0.3">
      <c r="A79" s="1"/>
      <c r="B79" s="38">
        <v>78</v>
      </c>
      <c r="C79" s="38" t="str">
        <f ca="1">IFERROR(HYPERLINK(工作表名&amp;"!A1",RIGHT(工作表名,LEN(工作表名)-FIND("]",工作表名))),"")</f>
        <v/>
      </c>
    </row>
    <row r="80" spans="1:3" ht="20.25" x14ac:dyDescent="0.3">
      <c r="A80" s="1"/>
      <c r="B80" s="38">
        <v>79</v>
      </c>
      <c r="C80" s="38" t="str">
        <f ca="1">IFERROR(HYPERLINK(工作表名&amp;"!A1",RIGHT(工作表名,LEN(工作表名)-FIND("]",工作表名))),"")</f>
        <v/>
      </c>
    </row>
    <row r="81" spans="1:3" ht="20.25" x14ac:dyDescent="0.3">
      <c r="A81" s="1"/>
      <c r="B81" s="38">
        <v>80</v>
      </c>
      <c r="C81" s="38" t="str">
        <f ca="1">IFERROR(HYPERLINK(工作表名&amp;"!A1",RIGHT(工作表名,LEN(工作表名)-FIND("]",工作表名))),"")</f>
        <v/>
      </c>
    </row>
    <row r="82" spans="1:3" ht="20.25" x14ac:dyDescent="0.3">
      <c r="A82" s="1"/>
      <c r="B82" s="38">
        <v>81</v>
      </c>
      <c r="C82" s="38" t="str">
        <f ca="1">IFERROR(HYPERLINK(工作表名&amp;"!A1",RIGHT(工作表名,LEN(工作表名)-FIND("]",工作表名))),"")</f>
        <v/>
      </c>
    </row>
    <row r="83" spans="1:3" ht="20.25" x14ac:dyDescent="0.3">
      <c r="A83" s="1"/>
      <c r="B83" s="38">
        <v>82</v>
      </c>
      <c r="C83" s="38" t="str">
        <f ca="1">IFERROR(HYPERLINK(工作表名&amp;"!A1",RIGHT(工作表名,LEN(工作表名)-FIND("]",工作表名))),"")</f>
        <v/>
      </c>
    </row>
    <row r="84" spans="1:3" ht="20.25" x14ac:dyDescent="0.3">
      <c r="A84" s="1"/>
      <c r="B84" s="38">
        <v>83</v>
      </c>
      <c r="C84" s="38" t="str">
        <f ca="1">IFERROR(HYPERLINK(工作表名&amp;"!A1",RIGHT(工作表名,LEN(工作表名)-FIND("]",工作表名))),"")</f>
        <v/>
      </c>
    </row>
    <row r="85" spans="1:3" ht="20.25" x14ac:dyDescent="0.3">
      <c r="A85" s="1"/>
      <c r="B85" s="38">
        <v>84</v>
      </c>
      <c r="C85" s="38" t="str">
        <f ca="1">IFERROR(HYPERLINK(工作表名&amp;"!A1",RIGHT(工作表名,LEN(工作表名)-FIND("]",工作表名))),"")</f>
        <v/>
      </c>
    </row>
    <row r="86" spans="1:3" ht="20.25" x14ac:dyDescent="0.3">
      <c r="A86" s="1"/>
      <c r="B86" s="38">
        <v>85</v>
      </c>
      <c r="C86" s="38" t="str">
        <f ca="1">IFERROR(HYPERLINK(工作表名&amp;"!A1",RIGHT(工作表名,LEN(工作表名)-FIND("]",工作表名))),"")</f>
        <v/>
      </c>
    </row>
    <row r="87" spans="1:3" ht="20.25" x14ac:dyDescent="0.3">
      <c r="A87" s="1"/>
      <c r="B87" s="38">
        <v>86</v>
      </c>
      <c r="C87" s="38" t="str">
        <f ca="1">IFERROR(HYPERLINK(工作表名&amp;"!A1",RIGHT(工作表名,LEN(工作表名)-FIND("]",工作表名))),"")</f>
        <v/>
      </c>
    </row>
    <row r="88" spans="1:3" ht="20.25" x14ac:dyDescent="0.3">
      <c r="A88" s="1"/>
      <c r="B88" s="38">
        <v>87</v>
      </c>
      <c r="C88" s="38" t="str">
        <f ca="1">IFERROR(HYPERLINK(工作表名&amp;"!A1",RIGHT(工作表名,LEN(工作表名)-FIND("]",工作表名))),"")</f>
        <v/>
      </c>
    </row>
    <row r="89" spans="1:3" ht="20.25" x14ac:dyDescent="0.3">
      <c r="A89" s="1"/>
      <c r="B89" s="38">
        <v>88</v>
      </c>
      <c r="C89" s="38" t="str">
        <f ca="1">IFERROR(HYPERLINK(工作表名&amp;"!A1",RIGHT(工作表名,LEN(工作表名)-FIND("]",工作表名))),"")</f>
        <v/>
      </c>
    </row>
    <row r="90" spans="1:3" ht="20.25" x14ac:dyDescent="0.3">
      <c r="A90" s="1"/>
      <c r="B90" s="38">
        <v>89</v>
      </c>
      <c r="C90" s="38" t="str">
        <f ca="1">IFERROR(HYPERLINK(工作表名&amp;"!A1",RIGHT(工作表名,LEN(工作表名)-FIND("]",工作表名))),"")</f>
        <v/>
      </c>
    </row>
    <row r="91" spans="1:3" ht="20.25" x14ac:dyDescent="0.3">
      <c r="A91" s="1"/>
      <c r="B91" s="38">
        <v>90</v>
      </c>
      <c r="C91" s="38" t="str">
        <f ca="1">IFERROR(HYPERLINK(工作表名&amp;"!A1",RIGHT(工作表名,LEN(工作表名)-FIND("]",工作表名))),"")</f>
        <v/>
      </c>
    </row>
    <row r="92" spans="1:3" ht="20.25" x14ac:dyDescent="0.3">
      <c r="A92" s="1"/>
      <c r="B92" s="38">
        <v>91</v>
      </c>
      <c r="C92" s="38" t="str">
        <f ca="1">IFERROR(HYPERLINK(工作表名&amp;"!A1",RIGHT(工作表名,LEN(工作表名)-FIND("]",工作表名))),"")</f>
        <v/>
      </c>
    </row>
    <row r="93" spans="1:3" ht="20.25" x14ac:dyDescent="0.3">
      <c r="A93" s="1"/>
      <c r="B93" s="38">
        <v>92</v>
      </c>
      <c r="C93" s="38" t="str">
        <f ca="1">IFERROR(HYPERLINK(工作表名&amp;"!A1",RIGHT(工作表名,LEN(工作表名)-FIND("]",工作表名))),"")</f>
        <v/>
      </c>
    </row>
    <row r="94" spans="1:3" ht="20.25" x14ac:dyDescent="0.3">
      <c r="A94" s="1"/>
      <c r="B94" s="38">
        <v>93</v>
      </c>
      <c r="C94" s="38" t="str">
        <f ca="1">IFERROR(HYPERLINK(工作表名&amp;"!A1",RIGHT(工作表名,LEN(工作表名)-FIND("]",工作表名))),"")</f>
        <v/>
      </c>
    </row>
    <row r="95" spans="1:3" ht="20.25" x14ac:dyDescent="0.3">
      <c r="A95" s="1"/>
      <c r="B95" s="38">
        <v>94</v>
      </c>
      <c r="C95" s="38" t="str">
        <f ca="1">IFERROR(HYPERLINK(工作表名&amp;"!A1",RIGHT(工作表名,LEN(工作表名)-FIND("]",工作表名))),"")</f>
        <v/>
      </c>
    </row>
    <row r="96" spans="1:3" ht="20.25" x14ac:dyDescent="0.3">
      <c r="A96" s="1"/>
      <c r="B96" s="38">
        <v>95</v>
      </c>
      <c r="C96" s="38" t="str">
        <f ca="1">IFERROR(HYPERLINK(工作表名&amp;"!A1",RIGHT(工作表名,LEN(工作表名)-FIND("]",工作表名))),"")</f>
        <v/>
      </c>
    </row>
    <row r="97" spans="1:3" ht="20.25" x14ac:dyDescent="0.3">
      <c r="A97" s="1"/>
      <c r="B97" s="38">
        <v>96</v>
      </c>
      <c r="C97" s="38" t="str">
        <f ca="1">IFERROR(HYPERLINK(工作表名&amp;"!A1",RIGHT(工作表名,LEN(工作表名)-FIND("]",工作表名))),"")</f>
        <v/>
      </c>
    </row>
    <row r="98" spans="1:3" ht="20.25" x14ac:dyDescent="0.3">
      <c r="A98" s="1"/>
      <c r="B98" s="38">
        <v>97</v>
      </c>
      <c r="C98" s="38" t="str">
        <f ca="1">IFERROR(HYPERLINK(工作表名&amp;"!A1",RIGHT(工作表名,LEN(工作表名)-FIND("]",工作表名))),"")</f>
        <v/>
      </c>
    </row>
    <row r="99" spans="1:3" ht="20.25" x14ac:dyDescent="0.3">
      <c r="A99" s="1"/>
      <c r="B99" s="38">
        <v>98</v>
      </c>
      <c r="C99" s="38" t="str">
        <f ca="1">IFERROR(HYPERLINK(工作表名&amp;"!A1",RIGHT(工作表名,LEN(工作表名)-FIND("]",工作表名))),"")</f>
        <v/>
      </c>
    </row>
    <row r="100" spans="1:3" ht="20.25" x14ac:dyDescent="0.3">
      <c r="A100" s="1"/>
      <c r="B100" s="38">
        <v>99</v>
      </c>
      <c r="C100" s="38" t="str">
        <f ca="1">IFERROR(HYPERLINK(工作表名&amp;"!A1",RIGHT(工作表名,LEN(工作表名)-FIND("]",工作表名))),"")</f>
        <v/>
      </c>
    </row>
    <row r="101" spans="1:3" ht="20.25" x14ac:dyDescent="0.3">
      <c r="A101" s="1"/>
      <c r="B101" s="38">
        <v>100</v>
      </c>
      <c r="C101" s="38" t="str">
        <f ca="1">IFERROR(HYPERLINK(工作表名&amp;"!A1",RIGHT(工作表名,LEN(工作表名)-FIND("]",工作表名))),"")</f>
        <v/>
      </c>
    </row>
    <row r="102" spans="1:3" ht="20.25" x14ac:dyDescent="0.3">
      <c r="A102" s="1"/>
      <c r="B102" s="38">
        <v>101</v>
      </c>
      <c r="C102" s="38" t="str">
        <f ca="1">IFERROR(HYPERLINK(工作表名&amp;"!A1",RIGHT(工作表名,LEN(工作表名)-FIND("]",工作表名))),"")</f>
        <v/>
      </c>
    </row>
    <row r="103" spans="1:3" ht="20.25" x14ac:dyDescent="0.3">
      <c r="A103" s="1"/>
      <c r="B103" s="38">
        <v>102</v>
      </c>
      <c r="C103" s="38" t="str">
        <f ca="1">IFERROR(HYPERLINK(工作表名&amp;"!A1",RIGHT(工作表名,LEN(工作表名)-FIND("]",工作表名))),"")</f>
        <v/>
      </c>
    </row>
    <row r="104" spans="1:3" ht="20.25" x14ac:dyDescent="0.3">
      <c r="A104" s="1"/>
      <c r="B104" s="38">
        <v>103</v>
      </c>
      <c r="C104" s="38" t="str">
        <f ca="1">IFERROR(HYPERLINK(工作表名&amp;"!A1",RIGHT(工作表名,LEN(工作表名)-FIND("]",工作表名))),"")</f>
        <v/>
      </c>
    </row>
    <row r="105" spans="1:3" ht="20.25" x14ac:dyDescent="0.3">
      <c r="A105" s="1"/>
      <c r="B105" s="38">
        <v>104</v>
      </c>
      <c r="C105" s="38" t="str">
        <f ca="1">IFERROR(HYPERLINK(工作表名&amp;"!A1",RIGHT(工作表名,LEN(工作表名)-FIND("]",工作表名))),"")</f>
        <v/>
      </c>
    </row>
    <row r="106" spans="1:3" ht="20.25" x14ac:dyDescent="0.3">
      <c r="A106" s="1"/>
      <c r="B106" s="38">
        <v>105</v>
      </c>
      <c r="C106" s="38" t="str">
        <f ca="1">IFERROR(HYPERLINK(工作表名&amp;"!A1",RIGHT(工作表名,LEN(工作表名)-FIND("]",工作表名))),"")</f>
        <v/>
      </c>
    </row>
    <row r="107" spans="1:3" ht="20.25" x14ac:dyDescent="0.3">
      <c r="A107" s="1"/>
      <c r="B107" s="38">
        <v>106</v>
      </c>
      <c r="C107" s="38" t="str">
        <f ca="1">IFERROR(HYPERLINK(工作表名&amp;"!A1",RIGHT(工作表名,LEN(工作表名)-FIND("]",工作表名))),"")</f>
        <v/>
      </c>
    </row>
    <row r="108" spans="1:3" ht="20.25" x14ac:dyDescent="0.3">
      <c r="A108" s="1"/>
      <c r="B108" s="38">
        <v>107</v>
      </c>
      <c r="C108" s="38" t="str">
        <f ca="1">IFERROR(HYPERLINK(工作表名&amp;"!A1",RIGHT(工作表名,LEN(工作表名)-FIND("]",工作表名))),"")</f>
        <v/>
      </c>
    </row>
    <row r="109" spans="1:3" ht="20.25" x14ac:dyDescent="0.3">
      <c r="A109" s="1"/>
      <c r="B109" s="38">
        <v>108</v>
      </c>
      <c r="C109" s="38" t="str">
        <f ca="1">IFERROR(HYPERLINK(工作表名&amp;"!A1",RIGHT(工作表名,LEN(工作表名)-FIND("]",工作表名))),"")</f>
        <v/>
      </c>
    </row>
    <row r="110" spans="1:3" ht="20.25" x14ac:dyDescent="0.3">
      <c r="A110" s="1"/>
      <c r="B110" s="38">
        <v>109</v>
      </c>
      <c r="C110" s="38" t="str">
        <f ca="1">IFERROR(HYPERLINK(工作表名&amp;"!A1",RIGHT(工作表名,LEN(工作表名)-FIND("]",工作表名))),"")</f>
        <v/>
      </c>
    </row>
    <row r="111" spans="1:3" ht="20.25" x14ac:dyDescent="0.3">
      <c r="A111" s="1"/>
      <c r="B111" s="38">
        <v>110</v>
      </c>
      <c r="C111" s="38" t="str">
        <f ca="1">IFERROR(HYPERLINK(工作表名&amp;"!A1",RIGHT(工作表名,LEN(工作表名)-FIND("]",工作表名))),"")</f>
        <v/>
      </c>
    </row>
    <row r="112" spans="1:3" ht="20.25" x14ac:dyDescent="0.3">
      <c r="A112" s="1"/>
      <c r="B112" s="38">
        <v>111</v>
      </c>
      <c r="C112" s="38" t="str">
        <f ca="1">IFERROR(HYPERLINK(工作表名&amp;"!A1",RIGHT(工作表名,LEN(工作表名)-FIND("]",工作表名))),"")</f>
        <v/>
      </c>
    </row>
    <row r="113" spans="1:3" ht="20.25" x14ac:dyDescent="0.3">
      <c r="A113" s="1"/>
      <c r="B113" s="38">
        <v>112</v>
      </c>
      <c r="C113" s="38" t="str">
        <f ca="1">IFERROR(HYPERLINK(工作表名&amp;"!A1",RIGHT(工作表名,LEN(工作表名)-FIND("]",工作表名))),"")</f>
        <v/>
      </c>
    </row>
    <row r="114" spans="1:3" ht="20.25" x14ac:dyDescent="0.3">
      <c r="A114" s="1"/>
      <c r="B114" s="38">
        <v>113</v>
      </c>
      <c r="C114" s="38" t="str">
        <f ca="1">IFERROR(HYPERLINK(工作表名&amp;"!A1",RIGHT(工作表名,LEN(工作表名)-FIND("]",工作表名))),"")</f>
        <v/>
      </c>
    </row>
    <row r="115" spans="1:3" ht="20.25" x14ac:dyDescent="0.3">
      <c r="A115" s="1"/>
      <c r="B115" s="38">
        <v>114</v>
      </c>
      <c r="C115" s="38" t="str">
        <f ca="1">IFERROR(HYPERLINK(工作表名&amp;"!A1",RIGHT(工作表名,LEN(工作表名)-FIND("]",工作表名))),"")</f>
        <v/>
      </c>
    </row>
    <row r="116" spans="1:3" ht="20.25" x14ac:dyDescent="0.3">
      <c r="A116" s="1"/>
      <c r="B116" s="38">
        <v>115</v>
      </c>
      <c r="C116" s="38" t="str">
        <f ca="1">IFERROR(HYPERLINK(工作表名&amp;"!A1",RIGHT(工作表名,LEN(工作表名)-FIND("]",工作表名))),"")</f>
        <v/>
      </c>
    </row>
    <row r="117" spans="1:3" ht="20.25" x14ac:dyDescent="0.3">
      <c r="A117" s="1"/>
      <c r="B117" s="38">
        <v>116</v>
      </c>
      <c r="C117" s="38" t="str">
        <f ca="1">IFERROR(HYPERLINK(工作表名&amp;"!A1",RIGHT(工作表名,LEN(工作表名)-FIND("]",工作表名))),"")</f>
        <v/>
      </c>
    </row>
    <row r="118" spans="1:3" ht="20.25" x14ac:dyDescent="0.3">
      <c r="A118" s="1"/>
      <c r="B118" s="38">
        <v>117</v>
      </c>
      <c r="C118" s="38" t="str">
        <f ca="1">IFERROR(HYPERLINK(工作表名&amp;"!A1",RIGHT(工作表名,LEN(工作表名)-FIND("]",工作表名))),"")</f>
        <v/>
      </c>
    </row>
    <row r="119" spans="1:3" ht="20.25" x14ac:dyDescent="0.3">
      <c r="A119" s="1"/>
      <c r="B119" s="38">
        <v>118</v>
      </c>
      <c r="C119" s="38" t="str">
        <f ca="1">IFERROR(HYPERLINK(工作表名&amp;"!A1",RIGHT(工作表名,LEN(工作表名)-FIND("]",工作表名))),"")</f>
        <v/>
      </c>
    </row>
    <row r="120" spans="1:3" ht="20.25" x14ac:dyDescent="0.3">
      <c r="A120" s="1"/>
      <c r="B120" s="38">
        <v>119</v>
      </c>
      <c r="C120" s="38" t="str">
        <f ca="1">IFERROR(HYPERLINK(工作表名&amp;"!A1",RIGHT(工作表名,LEN(工作表名)-FIND("]",工作表名))),"")</f>
        <v/>
      </c>
    </row>
    <row r="121" spans="1:3" ht="20.25" x14ac:dyDescent="0.3">
      <c r="A121" s="1"/>
      <c r="B121" s="38">
        <v>120</v>
      </c>
      <c r="C121" s="38" t="str">
        <f ca="1">IFERROR(HYPERLINK(工作表名&amp;"!A1",RIGHT(工作表名,LEN(工作表名)-FIND("]",工作表名))),"")</f>
        <v/>
      </c>
    </row>
    <row r="122" spans="1:3" ht="20.25" x14ac:dyDescent="0.3">
      <c r="A122" s="1"/>
      <c r="B122" s="38">
        <v>121</v>
      </c>
      <c r="C122" s="38" t="str">
        <f ca="1">IFERROR(HYPERLINK(工作表名&amp;"!A1",RIGHT(工作表名,LEN(工作表名)-FIND("]",工作表名))),"")</f>
        <v/>
      </c>
    </row>
    <row r="123" spans="1:3" ht="20.25" x14ac:dyDescent="0.3">
      <c r="A123" s="1"/>
      <c r="B123" s="38">
        <v>122</v>
      </c>
      <c r="C123" s="38" t="str">
        <f ca="1">IFERROR(HYPERLINK(工作表名&amp;"!A1",RIGHT(工作表名,LEN(工作表名)-FIND("]",工作表名))),"")</f>
        <v/>
      </c>
    </row>
    <row r="124" spans="1:3" ht="20.25" x14ac:dyDescent="0.3">
      <c r="A124" s="1"/>
      <c r="B124" s="38">
        <v>123</v>
      </c>
      <c r="C124" s="38" t="str">
        <f ca="1">IFERROR(HYPERLINK(工作表名&amp;"!A1",RIGHT(工作表名,LEN(工作表名)-FIND("]",工作表名))),"")</f>
        <v/>
      </c>
    </row>
    <row r="125" spans="1:3" ht="20.25" x14ac:dyDescent="0.3">
      <c r="A125" s="1"/>
      <c r="B125" s="38">
        <v>124</v>
      </c>
      <c r="C125" s="38" t="str">
        <f ca="1">IFERROR(HYPERLINK(工作表名&amp;"!A1",RIGHT(工作表名,LEN(工作表名)-FIND("]",工作表名))),"")</f>
        <v/>
      </c>
    </row>
    <row r="126" spans="1:3" ht="20.25" x14ac:dyDescent="0.3">
      <c r="A126" s="1"/>
      <c r="B126" s="38">
        <v>125</v>
      </c>
      <c r="C126" s="38" t="str">
        <f ca="1">IFERROR(HYPERLINK(工作表名&amp;"!A1",RIGHT(工作表名,LEN(工作表名)-FIND("]",工作表名))),"")</f>
        <v/>
      </c>
    </row>
    <row r="127" spans="1:3" ht="20.25" x14ac:dyDescent="0.3">
      <c r="A127" s="1"/>
      <c r="B127" s="38">
        <v>126</v>
      </c>
      <c r="C127" s="38" t="str">
        <f ca="1">IFERROR(HYPERLINK(工作表名&amp;"!A1",RIGHT(工作表名,LEN(工作表名)-FIND("]",工作表名))),"")</f>
        <v/>
      </c>
    </row>
    <row r="128" spans="1:3" ht="20.25" x14ac:dyDescent="0.3">
      <c r="A128" s="1"/>
      <c r="B128" s="38">
        <v>127</v>
      </c>
      <c r="C128" s="38" t="str">
        <f ca="1">IFERROR(HYPERLINK(工作表名&amp;"!A1",RIGHT(工作表名,LEN(工作表名)-FIND("]",工作表名))),"")</f>
        <v/>
      </c>
    </row>
    <row r="129" spans="1:3" ht="20.25" x14ac:dyDescent="0.3">
      <c r="A129" s="1"/>
      <c r="B129" s="38">
        <v>128</v>
      </c>
      <c r="C129" s="38" t="str">
        <f ca="1">IFERROR(HYPERLINK(工作表名&amp;"!A1",RIGHT(工作表名,LEN(工作表名)-FIND("]",工作表名))),"")</f>
        <v/>
      </c>
    </row>
    <row r="130" spans="1:3" ht="20.25" x14ac:dyDescent="0.3">
      <c r="A130" s="1"/>
      <c r="B130" s="38">
        <v>129</v>
      </c>
      <c r="C130" s="38" t="str">
        <f ca="1">IFERROR(HYPERLINK(工作表名&amp;"!A1",RIGHT(工作表名,LEN(工作表名)-FIND("]",工作表名))),"")</f>
        <v/>
      </c>
    </row>
    <row r="131" spans="1:3" ht="20.25" x14ac:dyDescent="0.3">
      <c r="A131" s="1"/>
      <c r="B131" s="38">
        <v>130</v>
      </c>
      <c r="C131" s="38" t="str">
        <f ca="1">IFERROR(HYPERLINK(工作表名&amp;"!A1",RIGHT(工作表名,LEN(工作表名)-FIND("]",工作表名))),"")</f>
        <v/>
      </c>
    </row>
    <row r="132" spans="1:3" ht="20.25" x14ac:dyDescent="0.3">
      <c r="A132" s="1"/>
      <c r="B132" s="38">
        <v>131</v>
      </c>
      <c r="C132" s="38" t="str">
        <f ca="1">IFERROR(HYPERLINK(工作表名&amp;"!A1",RIGHT(工作表名,LEN(工作表名)-FIND("]",工作表名))),"")</f>
        <v/>
      </c>
    </row>
    <row r="133" spans="1:3" ht="20.25" x14ac:dyDescent="0.3">
      <c r="A133" s="1"/>
      <c r="B133" s="38">
        <v>132</v>
      </c>
      <c r="C133" s="38" t="str">
        <f ca="1">IFERROR(HYPERLINK(工作表名&amp;"!A1",RIGHT(工作表名,LEN(工作表名)-FIND("]",工作表名))),"")</f>
        <v/>
      </c>
    </row>
    <row r="134" spans="1:3" ht="20.25" x14ac:dyDescent="0.3">
      <c r="A134" s="1"/>
      <c r="B134" s="38">
        <v>133</v>
      </c>
      <c r="C134" s="38" t="str">
        <f ca="1">IFERROR(HYPERLINK(工作表名&amp;"!A1",RIGHT(工作表名,LEN(工作表名)-FIND("]",工作表名))),"")</f>
        <v/>
      </c>
    </row>
    <row r="135" spans="1:3" ht="20.25" x14ac:dyDescent="0.3">
      <c r="A135" s="1"/>
      <c r="B135" s="38">
        <v>134</v>
      </c>
      <c r="C135" s="38" t="str">
        <f ca="1">IFERROR(HYPERLINK(工作表名&amp;"!A1",RIGHT(工作表名,LEN(工作表名)-FIND("]",工作表名))),"")</f>
        <v/>
      </c>
    </row>
    <row r="136" spans="1:3" ht="20.25" x14ac:dyDescent="0.3">
      <c r="A136" s="1"/>
      <c r="B136" s="38">
        <v>135</v>
      </c>
      <c r="C136" s="38" t="str">
        <f ca="1">IFERROR(HYPERLINK(工作表名&amp;"!A1",RIGHT(工作表名,LEN(工作表名)-FIND("]",工作表名))),"")</f>
        <v/>
      </c>
    </row>
    <row r="137" spans="1:3" ht="20.25" x14ac:dyDescent="0.3">
      <c r="A137" s="1"/>
      <c r="B137" s="38">
        <v>136</v>
      </c>
      <c r="C137" s="38" t="str">
        <f ca="1">IFERROR(HYPERLINK(工作表名&amp;"!A1",RIGHT(工作表名,LEN(工作表名)-FIND("]",工作表名))),"")</f>
        <v/>
      </c>
    </row>
    <row r="138" spans="1:3" ht="20.25" x14ac:dyDescent="0.3">
      <c r="A138" s="1"/>
      <c r="B138" s="38">
        <v>137</v>
      </c>
      <c r="C138" s="38" t="str">
        <f ca="1">IFERROR(HYPERLINK(工作表名&amp;"!A1",RIGHT(工作表名,LEN(工作表名)-FIND("]",工作表名))),"")</f>
        <v/>
      </c>
    </row>
    <row r="139" spans="1:3" ht="20.25" x14ac:dyDescent="0.3">
      <c r="A139" s="1"/>
      <c r="B139" s="38">
        <v>138</v>
      </c>
      <c r="C139" s="38" t="str">
        <f ca="1">IFERROR(HYPERLINK(工作表名&amp;"!A1",RIGHT(工作表名,LEN(工作表名)-FIND("]",工作表名))),"")</f>
        <v/>
      </c>
    </row>
    <row r="140" spans="1:3" ht="20.25" x14ac:dyDescent="0.3">
      <c r="A140" s="1"/>
      <c r="B140" s="38">
        <v>139</v>
      </c>
      <c r="C140" s="38" t="str">
        <f ca="1">IFERROR(HYPERLINK(工作表名&amp;"!A1",RIGHT(工作表名,LEN(工作表名)-FIND("]",工作表名))),"")</f>
        <v/>
      </c>
    </row>
    <row r="141" spans="1:3" ht="20.25" x14ac:dyDescent="0.3">
      <c r="A141" s="1"/>
      <c r="B141" s="38">
        <v>140</v>
      </c>
      <c r="C141" s="38" t="str">
        <f ca="1">IFERROR(HYPERLINK(工作表名&amp;"!A1",RIGHT(工作表名,LEN(工作表名)-FIND("]",工作表名))),"")</f>
        <v/>
      </c>
    </row>
    <row r="142" spans="1:3" ht="20.25" x14ac:dyDescent="0.3">
      <c r="A142" s="1"/>
      <c r="B142" s="38">
        <v>141</v>
      </c>
      <c r="C142" s="38" t="str">
        <f ca="1">IFERROR(HYPERLINK(工作表名&amp;"!A1",RIGHT(工作表名,LEN(工作表名)-FIND("]",工作表名))),"")</f>
        <v/>
      </c>
    </row>
    <row r="143" spans="1:3" ht="20.25" x14ac:dyDescent="0.3">
      <c r="A143" s="1"/>
      <c r="B143" s="38">
        <v>142</v>
      </c>
      <c r="C143" s="38" t="str">
        <f ca="1">IFERROR(HYPERLINK(工作表名&amp;"!A1",RIGHT(工作表名,LEN(工作表名)-FIND("]",工作表名))),"")</f>
        <v/>
      </c>
    </row>
    <row r="144" spans="1:3" ht="20.25" x14ac:dyDescent="0.3">
      <c r="A144" s="1"/>
      <c r="B144" s="38">
        <v>143</v>
      </c>
      <c r="C144" s="38" t="str">
        <f ca="1">IFERROR(HYPERLINK(工作表名&amp;"!A1",RIGHT(工作表名,LEN(工作表名)-FIND("]",工作表名))),"")</f>
        <v/>
      </c>
    </row>
    <row r="145" spans="1:3" ht="20.25" x14ac:dyDescent="0.3">
      <c r="A145" s="1"/>
      <c r="B145" s="38">
        <v>144</v>
      </c>
      <c r="C145" s="38" t="str">
        <f ca="1">IFERROR(HYPERLINK(工作表名&amp;"!A1",RIGHT(工作表名,LEN(工作表名)-FIND("]",工作表名))),"")</f>
        <v/>
      </c>
    </row>
    <row r="146" spans="1:3" ht="20.25" x14ac:dyDescent="0.3">
      <c r="A146" s="1"/>
      <c r="B146" s="38">
        <v>145</v>
      </c>
      <c r="C146" s="38" t="str">
        <f ca="1">IFERROR(HYPERLINK(工作表名&amp;"!A1",RIGHT(工作表名,LEN(工作表名)-FIND("]",工作表名))),"")</f>
        <v/>
      </c>
    </row>
    <row r="147" spans="1:3" ht="20.25" x14ac:dyDescent="0.3">
      <c r="A147" s="1"/>
      <c r="B147" s="38">
        <v>146</v>
      </c>
      <c r="C147" s="38" t="str">
        <f ca="1">IFERROR(HYPERLINK(工作表名&amp;"!A1",RIGHT(工作表名,LEN(工作表名)-FIND("]",工作表名))),"")</f>
        <v/>
      </c>
    </row>
    <row r="148" spans="1:3" ht="20.25" x14ac:dyDescent="0.3">
      <c r="A148" s="1"/>
      <c r="B148" s="38">
        <v>147</v>
      </c>
      <c r="C148" s="38" t="str">
        <f ca="1">IFERROR(HYPERLINK(工作表名&amp;"!A1",RIGHT(工作表名,LEN(工作表名)-FIND("]",工作表名))),"")</f>
        <v/>
      </c>
    </row>
    <row r="149" spans="1:3" ht="20.25" x14ac:dyDescent="0.3">
      <c r="A149" s="1"/>
      <c r="B149" s="38">
        <v>148</v>
      </c>
      <c r="C149" s="38" t="str">
        <f ca="1">IFERROR(HYPERLINK(工作表名&amp;"!A1",RIGHT(工作表名,LEN(工作表名)-FIND("]",工作表名))),"")</f>
        <v/>
      </c>
    </row>
    <row r="150" spans="1:3" ht="20.25" x14ac:dyDescent="0.3">
      <c r="A150" s="1"/>
      <c r="B150" s="38">
        <v>149</v>
      </c>
      <c r="C150" s="38" t="str">
        <f ca="1">IFERROR(HYPERLINK(工作表名&amp;"!A1",RIGHT(工作表名,LEN(工作表名)-FIND("]",工作表名))),"")</f>
        <v/>
      </c>
    </row>
    <row r="151" spans="1:3" ht="20.25" x14ac:dyDescent="0.3">
      <c r="A151" s="1"/>
      <c r="B151" s="38">
        <v>150</v>
      </c>
      <c r="C151" s="38" t="str">
        <f ca="1">IFERROR(HYPERLINK(工作表名&amp;"!A1",RIGHT(工作表名,LEN(工作表名)-FIND("]",工作表名))),"")</f>
        <v/>
      </c>
    </row>
    <row r="152" spans="1:3" ht="20.25" x14ac:dyDescent="0.3">
      <c r="A152" s="1"/>
      <c r="B152" s="38">
        <v>151</v>
      </c>
      <c r="C152" s="38" t="str">
        <f ca="1">IFERROR(HYPERLINK(工作表名&amp;"!A1",RIGHT(工作表名,LEN(工作表名)-FIND("]",工作表名))),"")</f>
        <v/>
      </c>
    </row>
    <row r="153" spans="1:3" ht="20.25" x14ac:dyDescent="0.3">
      <c r="A153" s="1"/>
      <c r="B153" s="38">
        <v>152</v>
      </c>
      <c r="C153" s="38" t="str">
        <f ca="1">IFERROR(HYPERLINK(工作表名&amp;"!A1",RIGHT(工作表名,LEN(工作表名)-FIND("]",工作表名))),"")</f>
        <v/>
      </c>
    </row>
    <row r="154" spans="1:3" ht="20.25" x14ac:dyDescent="0.3">
      <c r="A154" s="1"/>
      <c r="B154" s="38">
        <v>153</v>
      </c>
      <c r="C154" s="38" t="str">
        <f ca="1">IFERROR(HYPERLINK(工作表名&amp;"!A1",RIGHT(工作表名,LEN(工作表名)-FIND("]",工作表名))),"")</f>
        <v/>
      </c>
    </row>
    <row r="155" spans="1:3" ht="20.25" x14ac:dyDescent="0.3">
      <c r="A155" s="1"/>
      <c r="B155" s="38">
        <v>154</v>
      </c>
      <c r="C155" s="38" t="str">
        <f ca="1">IFERROR(HYPERLINK(工作表名&amp;"!A1",RIGHT(工作表名,LEN(工作表名)-FIND("]",工作表名))),"")</f>
        <v/>
      </c>
    </row>
    <row r="156" spans="1:3" ht="20.25" x14ac:dyDescent="0.3">
      <c r="A156" s="1"/>
      <c r="B156" s="38">
        <v>155</v>
      </c>
      <c r="C156" s="38" t="str">
        <f ca="1">IFERROR(HYPERLINK(工作表名&amp;"!A1",RIGHT(工作表名,LEN(工作表名)-FIND("]",工作表名))),"")</f>
        <v/>
      </c>
    </row>
    <row r="157" spans="1:3" ht="20.25" x14ac:dyDescent="0.3">
      <c r="A157" s="1"/>
      <c r="B157" s="38">
        <v>156</v>
      </c>
      <c r="C157" s="38" t="str">
        <f ca="1">IFERROR(HYPERLINK(工作表名&amp;"!A1",RIGHT(工作表名,LEN(工作表名)-FIND("]",工作表名))),"")</f>
        <v/>
      </c>
    </row>
    <row r="158" spans="1:3" ht="20.25" x14ac:dyDescent="0.3">
      <c r="A158" s="1"/>
      <c r="B158" s="38">
        <v>157</v>
      </c>
      <c r="C158" s="38" t="str">
        <f ca="1">IFERROR(HYPERLINK(工作表名&amp;"!A1",RIGHT(工作表名,LEN(工作表名)-FIND("]",工作表名))),"")</f>
        <v/>
      </c>
    </row>
    <row r="159" spans="1:3" ht="20.25" x14ac:dyDescent="0.3">
      <c r="A159" s="1"/>
      <c r="B159" s="38">
        <v>158</v>
      </c>
      <c r="C159" s="38" t="str">
        <f ca="1">IFERROR(HYPERLINK(工作表名&amp;"!A1",RIGHT(工作表名,LEN(工作表名)-FIND("]",工作表名))),"")</f>
        <v/>
      </c>
    </row>
    <row r="160" spans="1:3" ht="20.25" x14ac:dyDescent="0.3">
      <c r="A160" s="1"/>
      <c r="B160" s="38">
        <v>159</v>
      </c>
      <c r="C160" s="38" t="str">
        <f ca="1">IFERROR(HYPERLINK(工作表名&amp;"!A1",RIGHT(工作表名,LEN(工作表名)-FIND("]",工作表名))),"")</f>
        <v/>
      </c>
    </row>
    <row r="161" spans="1:3" ht="20.25" x14ac:dyDescent="0.3">
      <c r="A161" s="1"/>
      <c r="B161" s="38">
        <v>160</v>
      </c>
      <c r="C161" s="38" t="str">
        <f ca="1">IFERROR(HYPERLINK(工作表名&amp;"!A1",RIGHT(工作表名,LEN(工作表名)-FIND("]",工作表名))),"")</f>
        <v/>
      </c>
    </row>
    <row r="162" spans="1:3" ht="20.25" x14ac:dyDescent="0.3">
      <c r="A162" s="1"/>
      <c r="B162" s="38">
        <v>161</v>
      </c>
      <c r="C162" s="38" t="str">
        <f ca="1">IFERROR(HYPERLINK(工作表名&amp;"!A1",RIGHT(工作表名,LEN(工作表名)-FIND("]",工作表名))),"")</f>
        <v/>
      </c>
    </row>
    <row r="163" spans="1:3" ht="20.25" x14ac:dyDescent="0.3">
      <c r="A163" s="1"/>
      <c r="B163" s="38">
        <v>162</v>
      </c>
      <c r="C163" s="38" t="str">
        <f ca="1">IFERROR(HYPERLINK(工作表名&amp;"!A1",RIGHT(工作表名,LEN(工作表名)-FIND("]",工作表名))),"")</f>
        <v/>
      </c>
    </row>
    <row r="164" spans="1:3" ht="20.25" x14ac:dyDescent="0.3">
      <c r="A164" s="1"/>
      <c r="B164" s="38">
        <v>163</v>
      </c>
      <c r="C164" s="38" t="str">
        <f ca="1">IFERROR(HYPERLINK(工作表名&amp;"!A1",RIGHT(工作表名,LEN(工作表名)-FIND("]",工作表名))),"")</f>
        <v/>
      </c>
    </row>
    <row r="165" spans="1:3" ht="20.25" x14ac:dyDescent="0.3">
      <c r="A165" s="1"/>
      <c r="B165" s="38">
        <v>164</v>
      </c>
      <c r="C165" s="38" t="str">
        <f ca="1">IFERROR(HYPERLINK(工作表名&amp;"!A1",RIGHT(工作表名,LEN(工作表名)-FIND("]",工作表名))),"")</f>
        <v/>
      </c>
    </row>
    <row r="166" spans="1:3" ht="20.25" x14ac:dyDescent="0.3">
      <c r="A166" s="1"/>
      <c r="B166" s="38">
        <v>165</v>
      </c>
      <c r="C166" s="38" t="str">
        <f ca="1">IFERROR(HYPERLINK(工作表名&amp;"!A1",RIGHT(工作表名,LEN(工作表名)-FIND("]",工作表名))),"")</f>
        <v/>
      </c>
    </row>
    <row r="167" spans="1:3" ht="20.25" x14ac:dyDescent="0.3">
      <c r="A167" s="1"/>
      <c r="B167" s="38">
        <v>166</v>
      </c>
      <c r="C167" s="38" t="str">
        <f ca="1">IFERROR(HYPERLINK(工作表名&amp;"!A1",RIGHT(工作表名,LEN(工作表名)-FIND("]",工作表名))),"")</f>
        <v/>
      </c>
    </row>
    <row r="168" spans="1:3" ht="20.25" x14ac:dyDescent="0.3">
      <c r="A168" s="1"/>
      <c r="B168" s="38">
        <v>167</v>
      </c>
      <c r="C168" s="38" t="str">
        <f ca="1">IFERROR(HYPERLINK(工作表名&amp;"!A1",RIGHT(工作表名,LEN(工作表名)-FIND("]",工作表名))),"")</f>
        <v/>
      </c>
    </row>
    <row r="169" spans="1:3" ht="20.25" x14ac:dyDescent="0.3">
      <c r="A169" s="1"/>
      <c r="B169" s="38">
        <v>168</v>
      </c>
      <c r="C169" s="38" t="str">
        <f ca="1">IFERROR(HYPERLINK(工作表名&amp;"!A1",RIGHT(工作表名,LEN(工作表名)-FIND("]",工作表名))),"")</f>
        <v/>
      </c>
    </row>
    <row r="170" spans="1:3" ht="20.25" x14ac:dyDescent="0.3">
      <c r="A170" s="1"/>
      <c r="B170" s="38">
        <v>169</v>
      </c>
      <c r="C170" s="38" t="str">
        <f ca="1">IFERROR(HYPERLINK(工作表名&amp;"!A1",RIGHT(工作表名,LEN(工作表名)-FIND("]",工作表名))),"")</f>
        <v/>
      </c>
    </row>
    <row r="171" spans="1:3" ht="20.25" x14ac:dyDescent="0.3">
      <c r="A171" s="1"/>
      <c r="B171" s="38">
        <v>170</v>
      </c>
      <c r="C171" s="38" t="str">
        <f ca="1">IFERROR(HYPERLINK(工作表名&amp;"!A1",RIGHT(工作表名,LEN(工作表名)-FIND("]",工作表名))),"")</f>
        <v/>
      </c>
    </row>
    <row r="172" spans="1:3" ht="20.25" x14ac:dyDescent="0.3">
      <c r="A172" s="1"/>
      <c r="B172" s="38">
        <v>171</v>
      </c>
      <c r="C172" s="38" t="str">
        <f ca="1">IFERROR(HYPERLINK(工作表名&amp;"!A1",RIGHT(工作表名,LEN(工作表名)-FIND("]",工作表名))),"")</f>
        <v/>
      </c>
    </row>
    <row r="173" spans="1:3" ht="20.25" x14ac:dyDescent="0.3">
      <c r="A173" s="1"/>
      <c r="B173" s="38">
        <v>172</v>
      </c>
      <c r="C173" s="38" t="str">
        <f ca="1">IFERROR(HYPERLINK(工作表名&amp;"!A1",RIGHT(工作表名,LEN(工作表名)-FIND("]",工作表名))),"")</f>
        <v/>
      </c>
    </row>
    <row r="174" spans="1:3" ht="20.25" x14ac:dyDescent="0.3">
      <c r="A174" s="1"/>
      <c r="B174" s="38">
        <v>173</v>
      </c>
      <c r="C174" s="38" t="str">
        <f ca="1">IFERROR(HYPERLINK(工作表名&amp;"!A1",RIGHT(工作表名,LEN(工作表名)-FIND("]",工作表名))),"")</f>
        <v/>
      </c>
    </row>
    <row r="175" spans="1:3" ht="20.25" x14ac:dyDescent="0.3">
      <c r="A175" s="1"/>
      <c r="B175" s="38">
        <v>174</v>
      </c>
      <c r="C175" s="38" t="str">
        <f ca="1">IFERROR(HYPERLINK(工作表名&amp;"!A1",RIGHT(工作表名,LEN(工作表名)-FIND("]",工作表名))),"")</f>
        <v/>
      </c>
    </row>
    <row r="176" spans="1:3" ht="20.25" x14ac:dyDescent="0.3">
      <c r="A176" s="1"/>
      <c r="B176" s="38">
        <v>175</v>
      </c>
      <c r="C176" s="38" t="str">
        <f ca="1">IFERROR(HYPERLINK(工作表名&amp;"!A1",RIGHT(工作表名,LEN(工作表名)-FIND("]",工作表名))),"")</f>
        <v/>
      </c>
    </row>
    <row r="177" spans="1:3" ht="20.25" x14ac:dyDescent="0.3">
      <c r="A177" s="1"/>
      <c r="B177" s="38">
        <v>176</v>
      </c>
      <c r="C177" s="38" t="str">
        <f ca="1">IFERROR(HYPERLINK(工作表名&amp;"!A1",RIGHT(工作表名,LEN(工作表名)-FIND("]",工作表名))),"")</f>
        <v/>
      </c>
    </row>
    <row r="178" spans="1:3" ht="20.25" x14ac:dyDescent="0.3">
      <c r="A178" s="1"/>
      <c r="B178" s="38">
        <v>177</v>
      </c>
      <c r="C178" s="38" t="str">
        <f ca="1">IFERROR(HYPERLINK(工作表名&amp;"!A1",RIGHT(工作表名,LEN(工作表名)-FIND("]",工作表名))),"")</f>
        <v/>
      </c>
    </row>
    <row r="179" spans="1:3" ht="20.25" x14ac:dyDescent="0.3">
      <c r="A179" s="1"/>
      <c r="B179" s="38">
        <v>178</v>
      </c>
      <c r="C179" s="38" t="str">
        <f ca="1">IFERROR(HYPERLINK(工作表名&amp;"!A1",RIGHT(工作表名,LEN(工作表名)-FIND("]",工作表名))),"")</f>
        <v/>
      </c>
    </row>
    <row r="180" spans="1:3" ht="20.25" x14ac:dyDescent="0.3">
      <c r="A180" s="1"/>
      <c r="B180" s="38">
        <v>179</v>
      </c>
      <c r="C180" s="38" t="str">
        <f ca="1">IFERROR(HYPERLINK(工作表名&amp;"!A1",RIGHT(工作表名,LEN(工作表名)-FIND("]",工作表名))),"")</f>
        <v/>
      </c>
    </row>
    <row r="181" spans="1:3" ht="20.25" x14ac:dyDescent="0.3">
      <c r="A181" s="1"/>
      <c r="B181" s="38">
        <v>180</v>
      </c>
      <c r="C181" s="38" t="str">
        <f ca="1">IFERROR(HYPERLINK(工作表名&amp;"!A1",RIGHT(工作表名,LEN(工作表名)-FIND("]",工作表名))),"")</f>
        <v/>
      </c>
    </row>
    <row r="182" spans="1:3" ht="20.25" x14ac:dyDescent="0.3">
      <c r="A182" s="1"/>
      <c r="B182" s="38">
        <v>181</v>
      </c>
      <c r="C182" s="38" t="str">
        <f ca="1">IFERROR(HYPERLINK(工作表名&amp;"!A1",RIGHT(工作表名,LEN(工作表名)-FIND("]",工作表名))),"")</f>
        <v/>
      </c>
    </row>
    <row r="183" spans="1:3" ht="20.25" x14ac:dyDescent="0.3">
      <c r="A183" s="1"/>
      <c r="B183" s="38">
        <v>182</v>
      </c>
      <c r="C183" s="38" t="str">
        <f ca="1">IFERROR(HYPERLINK(工作表名&amp;"!A1",RIGHT(工作表名,LEN(工作表名)-FIND("]",工作表名))),"")</f>
        <v/>
      </c>
    </row>
    <row r="184" spans="1:3" ht="20.25" x14ac:dyDescent="0.3">
      <c r="A184" s="1"/>
      <c r="B184" s="38">
        <v>183</v>
      </c>
      <c r="C184" s="38" t="str">
        <f ca="1">IFERROR(HYPERLINK(工作表名&amp;"!A1",RIGHT(工作表名,LEN(工作表名)-FIND("]",工作表名))),"")</f>
        <v/>
      </c>
    </row>
    <row r="185" spans="1:3" ht="20.25" x14ac:dyDescent="0.3">
      <c r="A185" s="1"/>
      <c r="B185" s="38">
        <v>184</v>
      </c>
      <c r="C185" s="38" t="str">
        <f ca="1">IFERROR(HYPERLINK(工作表名&amp;"!A1",RIGHT(工作表名,LEN(工作表名)-FIND("]",工作表名))),"")</f>
        <v/>
      </c>
    </row>
    <row r="186" spans="1:3" ht="20.25" x14ac:dyDescent="0.3">
      <c r="A186" s="1"/>
      <c r="B186" s="38">
        <v>185</v>
      </c>
      <c r="C186" s="38" t="str">
        <f ca="1">IFERROR(HYPERLINK(工作表名&amp;"!A1",RIGHT(工作表名,LEN(工作表名)-FIND("]",工作表名))),"")</f>
        <v/>
      </c>
    </row>
    <row r="187" spans="1:3" ht="20.25" x14ac:dyDescent="0.3">
      <c r="A187" s="1"/>
      <c r="B187" s="38">
        <v>186</v>
      </c>
      <c r="C187" s="38" t="str">
        <f ca="1">IFERROR(HYPERLINK(工作表名&amp;"!A1",RIGHT(工作表名,LEN(工作表名)-FIND("]",工作表名))),"")</f>
        <v/>
      </c>
    </row>
    <row r="188" spans="1:3" ht="20.25" x14ac:dyDescent="0.3">
      <c r="A188" s="1"/>
      <c r="B188" s="38">
        <v>187</v>
      </c>
      <c r="C188" s="38" t="str">
        <f ca="1">IFERROR(HYPERLINK(工作表名&amp;"!A1",RIGHT(工作表名,LEN(工作表名)-FIND("]",工作表名))),"")</f>
        <v/>
      </c>
    </row>
    <row r="189" spans="1:3" ht="20.25" x14ac:dyDescent="0.3">
      <c r="A189" s="1"/>
      <c r="B189" s="38">
        <v>188</v>
      </c>
      <c r="C189" s="38" t="str">
        <f ca="1">IFERROR(HYPERLINK(工作表名&amp;"!A1",RIGHT(工作表名,LEN(工作表名)-FIND("]",工作表名))),"")</f>
        <v/>
      </c>
    </row>
    <row r="190" spans="1:3" ht="20.25" x14ac:dyDescent="0.3">
      <c r="A190" s="1"/>
      <c r="B190" s="38">
        <v>189</v>
      </c>
      <c r="C190" s="38" t="str">
        <f ca="1">IFERROR(HYPERLINK(工作表名&amp;"!A1",RIGHT(工作表名,LEN(工作表名)-FIND("]",工作表名))),"")</f>
        <v/>
      </c>
    </row>
    <row r="191" spans="1:3" ht="20.25" x14ac:dyDescent="0.3">
      <c r="A191" s="1"/>
      <c r="B191" s="38">
        <v>190</v>
      </c>
      <c r="C191" s="38" t="str">
        <f ca="1">IFERROR(HYPERLINK(工作表名&amp;"!A1",RIGHT(工作表名,LEN(工作表名)-FIND("]",工作表名))),"")</f>
        <v/>
      </c>
    </row>
    <row r="192" spans="1:3" ht="20.25" x14ac:dyDescent="0.3">
      <c r="A192" s="1"/>
      <c r="B192" s="38">
        <v>191</v>
      </c>
      <c r="C192" s="38" t="str">
        <f ca="1">IFERROR(HYPERLINK(工作表名&amp;"!A1",RIGHT(工作表名,LEN(工作表名)-FIND("]",工作表名))),"")</f>
        <v/>
      </c>
    </row>
    <row r="193" spans="1:3" ht="20.25" x14ac:dyDescent="0.3">
      <c r="A193" s="1"/>
      <c r="B193" s="38">
        <v>192</v>
      </c>
      <c r="C193" s="38" t="str">
        <f ca="1">IFERROR(HYPERLINK(工作表名&amp;"!A1",RIGHT(工作表名,LEN(工作表名)-FIND("]",工作表名))),"")</f>
        <v/>
      </c>
    </row>
    <row r="194" spans="1:3" ht="20.25" x14ac:dyDescent="0.3">
      <c r="A194" s="1"/>
      <c r="B194" s="38">
        <v>193</v>
      </c>
      <c r="C194" s="38" t="str">
        <f ca="1">IFERROR(HYPERLINK(工作表名&amp;"!A1",RIGHT(工作表名,LEN(工作表名)-FIND("]",工作表名))),"")</f>
        <v/>
      </c>
    </row>
    <row r="195" spans="1:3" ht="20.25" x14ac:dyDescent="0.3">
      <c r="A195" s="1"/>
      <c r="B195" s="38">
        <v>194</v>
      </c>
      <c r="C195" s="38" t="str">
        <f ca="1">IFERROR(HYPERLINK(工作表名&amp;"!A1",RIGHT(工作表名,LEN(工作表名)-FIND("]",工作表名))),"")</f>
        <v/>
      </c>
    </row>
    <row r="196" spans="1:3" ht="20.25" x14ac:dyDescent="0.3">
      <c r="A196" s="1"/>
      <c r="B196" s="38">
        <v>195</v>
      </c>
      <c r="C196" s="38" t="str">
        <f ca="1">IFERROR(HYPERLINK(工作表名&amp;"!A1",RIGHT(工作表名,LEN(工作表名)-FIND("]",工作表名))),"")</f>
        <v/>
      </c>
    </row>
    <row r="197" spans="1:3" ht="20.25" x14ac:dyDescent="0.3">
      <c r="A197" s="1"/>
      <c r="B197" s="38">
        <v>196</v>
      </c>
      <c r="C197" s="38" t="str">
        <f ca="1">IFERROR(HYPERLINK(工作表名&amp;"!A1",RIGHT(工作表名,LEN(工作表名)-FIND("]",工作表名))),"")</f>
        <v/>
      </c>
    </row>
    <row r="198" spans="1:3" ht="20.25" x14ac:dyDescent="0.3">
      <c r="A198" s="1"/>
      <c r="B198" s="38">
        <v>197</v>
      </c>
      <c r="C198" s="38" t="str">
        <f ca="1">IFERROR(HYPERLINK(工作表名&amp;"!A1",RIGHT(工作表名,LEN(工作表名)-FIND("]",工作表名))),"")</f>
        <v/>
      </c>
    </row>
    <row r="199" spans="1:3" ht="20.25" x14ac:dyDescent="0.3">
      <c r="A199" s="1"/>
      <c r="B199" s="38">
        <v>198</v>
      </c>
      <c r="C199" s="38" t="str">
        <f ca="1">IFERROR(HYPERLINK(工作表名&amp;"!A1",RIGHT(工作表名,LEN(工作表名)-FIND("]",工作表名))),"")</f>
        <v/>
      </c>
    </row>
    <row r="200" spans="1:3" ht="20.25" x14ac:dyDescent="0.3">
      <c r="A200" s="1"/>
      <c r="B200" s="38">
        <v>199</v>
      </c>
      <c r="C200" s="38" t="str">
        <f ca="1">IFERROR(HYPERLINK(工作表名&amp;"!A1",RIGHT(工作表名,LEN(工作表名)-FIND("]",工作表名))),"")</f>
        <v/>
      </c>
    </row>
    <row r="201" spans="1:3" ht="20.25" x14ac:dyDescent="0.3">
      <c r="A201" s="1"/>
      <c r="B201" s="38">
        <v>200</v>
      </c>
      <c r="C201" s="38" t="str">
        <f ca="1">IFERROR(HYPERLINK(工作表名&amp;"!A1",RIGHT(工作表名,LEN(工作表名)-FIND("]",工作表名))),"")</f>
        <v/>
      </c>
    </row>
    <row r="202" spans="1:3" ht="20.25" x14ac:dyDescent="0.3">
      <c r="A202" s="1"/>
      <c r="B202" s="38">
        <v>201</v>
      </c>
      <c r="C202" s="38" t="str">
        <f ca="1">IFERROR(HYPERLINK(工作表名&amp;"!A1",RIGHT(工作表名,LEN(工作表名)-FIND("]",工作表名))),"")</f>
        <v/>
      </c>
    </row>
    <row r="203" spans="1:3" ht="20.25" x14ac:dyDescent="0.3">
      <c r="A203" s="1"/>
      <c r="B203" s="38">
        <v>202</v>
      </c>
      <c r="C203" s="38" t="str">
        <f ca="1">IFERROR(HYPERLINK(工作表名&amp;"!A1",RIGHT(工作表名,LEN(工作表名)-FIND("]",工作表名))),"")</f>
        <v/>
      </c>
    </row>
    <row r="204" spans="1:3" ht="20.25" x14ac:dyDescent="0.3">
      <c r="A204" s="1"/>
      <c r="B204" s="38">
        <v>203</v>
      </c>
      <c r="C204" s="38" t="str">
        <f ca="1">IFERROR(HYPERLINK(工作表名&amp;"!A1",RIGHT(工作表名,LEN(工作表名)-FIND("]",工作表名))),"")</f>
        <v/>
      </c>
    </row>
    <row r="205" spans="1:3" ht="20.25" x14ac:dyDescent="0.3">
      <c r="A205" s="1"/>
      <c r="B205" s="38">
        <v>204</v>
      </c>
      <c r="C205" s="38" t="str">
        <f ca="1">IFERROR(HYPERLINK(工作表名&amp;"!A1",RIGHT(工作表名,LEN(工作表名)-FIND("]",工作表名))),"")</f>
        <v/>
      </c>
    </row>
    <row r="206" spans="1:3" ht="20.25" x14ac:dyDescent="0.3">
      <c r="A206" s="1"/>
      <c r="B206" s="38">
        <v>205</v>
      </c>
      <c r="C206" s="38" t="str">
        <f ca="1">IFERROR(HYPERLINK(工作表名&amp;"!A1",RIGHT(工作表名,LEN(工作表名)-FIND("]",工作表名))),"")</f>
        <v/>
      </c>
    </row>
    <row r="207" spans="1:3" ht="20.25" x14ac:dyDescent="0.3">
      <c r="A207" s="1"/>
      <c r="B207" s="38">
        <v>206</v>
      </c>
      <c r="C207" s="38" t="str">
        <f ca="1">IFERROR(HYPERLINK(工作表名&amp;"!A1",RIGHT(工作表名,LEN(工作表名)-FIND("]",工作表名))),"")</f>
        <v/>
      </c>
    </row>
    <row r="208" spans="1:3" ht="20.25" x14ac:dyDescent="0.3">
      <c r="A208" s="1"/>
      <c r="B208" s="38">
        <v>207</v>
      </c>
      <c r="C208" s="38" t="str">
        <f ca="1">IFERROR(HYPERLINK(工作表名&amp;"!A1",RIGHT(工作表名,LEN(工作表名)-FIND("]",工作表名))),"")</f>
        <v/>
      </c>
    </row>
    <row r="209" spans="1:3" ht="20.25" x14ac:dyDescent="0.3">
      <c r="A209" s="1"/>
      <c r="B209" s="38">
        <v>208</v>
      </c>
      <c r="C209" s="38" t="str">
        <f ca="1">IFERROR(HYPERLINK(工作表名&amp;"!A1",RIGHT(工作表名,LEN(工作表名)-FIND("]",工作表名))),"")</f>
        <v/>
      </c>
    </row>
    <row r="210" spans="1:3" ht="20.25" x14ac:dyDescent="0.3">
      <c r="A210" s="1"/>
      <c r="B210" s="38">
        <v>209</v>
      </c>
      <c r="C210" s="38" t="str">
        <f ca="1">IFERROR(HYPERLINK(工作表名&amp;"!A1",RIGHT(工作表名,LEN(工作表名)-FIND("]",工作表名))),"")</f>
        <v/>
      </c>
    </row>
    <row r="211" spans="1:3" ht="20.25" x14ac:dyDescent="0.3">
      <c r="A211" s="1"/>
      <c r="B211" s="38">
        <v>210</v>
      </c>
      <c r="C211" s="38" t="str">
        <f ca="1">IFERROR(HYPERLINK(工作表名&amp;"!A1",RIGHT(工作表名,LEN(工作表名)-FIND("]",工作表名))),"")</f>
        <v/>
      </c>
    </row>
    <row r="212" spans="1:3" ht="20.25" x14ac:dyDescent="0.3">
      <c r="A212" s="1"/>
      <c r="B212" s="38">
        <v>211</v>
      </c>
      <c r="C212" s="38" t="str">
        <f ca="1">IFERROR(HYPERLINK(工作表名&amp;"!A1",RIGHT(工作表名,LEN(工作表名)-FIND("]",工作表名))),"")</f>
        <v/>
      </c>
    </row>
    <row r="213" spans="1:3" ht="20.25" x14ac:dyDescent="0.3">
      <c r="A213" s="1"/>
      <c r="B213" s="38">
        <v>212</v>
      </c>
      <c r="C213" s="38" t="str">
        <f ca="1">IFERROR(HYPERLINK(工作表名&amp;"!A1",RIGHT(工作表名,LEN(工作表名)-FIND("]",工作表名))),"")</f>
        <v/>
      </c>
    </row>
    <row r="214" spans="1:3" ht="20.25" x14ac:dyDescent="0.3">
      <c r="A214" s="1"/>
      <c r="B214" s="38">
        <v>213</v>
      </c>
      <c r="C214" s="38" t="str">
        <f ca="1">IFERROR(HYPERLINK(工作表名&amp;"!A1",RIGHT(工作表名,LEN(工作表名)-FIND("]",工作表名))),"")</f>
        <v/>
      </c>
    </row>
    <row r="215" spans="1:3" ht="20.25" x14ac:dyDescent="0.3">
      <c r="A215" s="1"/>
      <c r="B215" s="38">
        <v>214</v>
      </c>
      <c r="C215" s="38" t="str">
        <f ca="1">IFERROR(HYPERLINK(工作表名&amp;"!A1",RIGHT(工作表名,LEN(工作表名)-FIND("]",工作表名))),"")</f>
        <v/>
      </c>
    </row>
    <row r="216" spans="1:3" ht="20.25" x14ac:dyDescent="0.3">
      <c r="A216" s="1"/>
      <c r="B216" s="38">
        <v>215</v>
      </c>
      <c r="C216" s="38" t="str">
        <f ca="1">IFERROR(HYPERLINK(工作表名&amp;"!A1",RIGHT(工作表名,LEN(工作表名)-FIND("]",工作表名))),"")</f>
        <v/>
      </c>
    </row>
    <row r="217" spans="1:3" ht="20.25" x14ac:dyDescent="0.3">
      <c r="A217" s="1"/>
      <c r="B217" s="38">
        <v>216</v>
      </c>
      <c r="C217" s="38" t="str">
        <f ca="1">IFERROR(HYPERLINK(工作表名&amp;"!A1",RIGHT(工作表名,LEN(工作表名)-FIND("]",工作表名))),"")</f>
        <v/>
      </c>
    </row>
    <row r="218" spans="1:3" ht="20.25" x14ac:dyDescent="0.3">
      <c r="A218" s="1"/>
      <c r="B218" s="38">
        <v>217</v>
      </c>
      <c r="C218" s="38" t="str">
        <f ca="1">IFERROR(HYPERLINK(工作表名&amp;"!A1",RIGHT(工作表名,LEN(工作表名)-FIND("]",工作表名))),"")</f>
        <v/>
      </c>
    </row>
    <row r="219" spans="1:3" ht="20.25" x14ac:dyDescent="0.3">
      <c r="A219" s="1"/>
      <c r="B219" s="38">
        <v>218</v>
      </c>
      <c r="C219" s="38" t="str">
        <f ca="1">IFERROR(HYPERLINK(工作表名&amp;"!A1",RIGHT(工作表名,LEN(工作表名)-FIND("]",工作表名))),"")</f>
        <v/>
      </c>
    </row>
    <row r="220" spans="1:3" ht="20.25" x14ac:dyDescent="0.3">
      <c r="A220" s="1"/>
      <c r="B220" s="38">
        <v>219</v>
      </c>
      <c r="C220" s="38" t="str">
        <f ca="1">IFERROR(HYPERLINK(工作表名&amp;"!A1",RIGHT(工作表名,LEN(工作表名)-FIND("]",工作表名))),"")</f>
        <v/>
      </c>
    </row>
    <row r="221" spans="1:3" ht="20.25" x14ac:dyDescent="0.3">
      <c r="A221" s="1"/>
      <c r="B221" s="38">
        <v>220</v>
      </c>
      <c r="C221" s="38" t="str">
        <f ca="1">IFERROR(HYPERLINK(工作表名&amp;"!A1",RIGHT(工作表名,LEN(工作表名)-FIND("]",工作表名))),"")</f>
        <v/>
      </c>
    </row>
    <row r="222" spans="1:3" ht="20.25" x14ac:dyDescent="0.3">
      <c r="A222" s="1"/>
      <c r="B222" s="38">
        <v>221</v>
      </c>
      <c r="C222" s="38" t="str">
        <f ca="1">IFERROR(HYPERLINK(工作表名&amp;"!A1",RIGHT(工作表名,LEN(工作表名)-FIND("]",工作表名))),"")</f>
        <v/>
      </c>
    </row>
    <row r="223" spans="1:3" ht="20.25" x14ac:dyDescent="0.3">
      <c r="A223" s="1"/>
      <c r="B223" s="38">
        <v>222</v>
      </c>
      <c r="C223" s="38" t="str">
        <f ca="1">IFERROR(HYPERLINK(工作表名&amp;"!A1",RIGHT(工作表名,LEN(工作表名)-FIND("]",工作表名))),"")</f>
        <v/>
      </c>
    </row>
    <row r="224" spans="1:3" ht="20.25" x14ac:dyDescent="0.3">
      <c r="A224" s="1"/>
      <c r="B224" s="38">
        <v>223</v>
      </c>
      <c r="C224" s="38" t="str">
        <f ca="1">IFERROR(HYPERLINK(工作表名&amp;"!A1",RIGHT(工作表名,LEN(工作表名)-FIND("]",工作表名))),"")</f>
        <v/>
      </c>
    </row>
    <row r="225" spans="1:3" ht="20.25" x14ac:dyDescent="0.3">
      <c r="A225" s="1"/>
      <c r="B225" s="38">
        <v>224</v>
      </c>
      <c r="C225" s="38" t="str">
        <f ca="1">IFERROR(HYPERLINK(工作表名&amp;"!A1",RIGHT(工作表名,LEN(工作表名)-FIND("]",工作表名))),"")</f>
        <v/>
      </c>
    </row>
    <row r="226" spans="1:3" ht="20.25" x14ac:dyDescent="0.3">
      <c r="A226" s="1"/>
      <c r="B226" s="38">
        <v>225</v>
      </c>
      <c r="C226" s="38" t="str">
        <f ca="1">IFERROR(HYPERLINK(工作表名&amp;"!A1",RIGHT(工作表名,LEN(工作表名)-FIND("]",工作表名))),"")</f>
        <v/>
      </c>
    </row>
    <row r="227" spans="1:3" ht="20.25" x14ac:dyDescent="0.3">
      <c r="A227" s="1"/>
      <c r="B227" s="38">
        <v>226</v>
      </c>
      <c r="C227" s="38" t="str">
        <f ca="1">IFERROR(HYPERLINK(工作表名&amp;"!A1",RIGHT(工作表名,LEN(工作表名)-FIND("]",工作表名))),"")</f>
        <v/>
      </c>
    </row>
    <row r="228" spans="1:3" ht="20.25" x14ac:dyDescent="0.3">
      <c r="A228" s="1"/>
      <c r="B228" s="38">
        <v>227</v>
      </c>
      <c r="C228" s="38" t="str">
        <f ca="1">IFERROR(HYPERLINK(工作表名&amp;"!A1",RIGHT(工作表名,LEN(工作表名)-FIND("]",工作表名))),"")</f>
        <v/>
      </c>
    </row>
    <row r="229" spans="1:3" ht="20.25" x14ac:dyDescent="0.3">
      <c r="A229" s="1"/>
      <c r="B229" s="38">
        <v>228</v>
      </c>
      <c r="C229" s="38" t="str">
        <f ca="1">IFERROR(HYPERLINK(工作表名&amp;"!A1",RIGHT(工作表名,LEN(工作表名)-FIND("]",工作表名))),"")</f>
        <v/>
      </c>
    </row>
    <row r="230" spans="1:3" ht="20.25" x14ac:dyDescent="0.3">
      <c r="A230" s="1"/>
      <c r="B230" s="38">
        <v>229</v>
      </c>
      <c r="C230" s="38" t="str">
        <f ca="1">IFERROR(HYPERLINK(工作表名&amp;"!A1",RIGHT(工作表名,LEN(工作表名)-FIND("]",工作表名))),"")</f>
        <v/>
      </c>
    </row>
    <row r="231" spans="1:3" ht="20.25" x14ac:dyDescent="0.3">
      <c r="A231" s="1"/>
      <c r="B231" s="38">
        <v>230</v>
      </c>
      <c r="C231" s="38" t="str">
        <f ca="1">IFERROR(HYPERLINK(工作表名&amp;"!A1",RIGHT(工作表名,LEN(工作表名)-FIND("]",工作表名))),"")</f>
        <v/>
      </c>
    </row>
    <row r="232" spans="1:3" ht="20.25" x14ac:dyDescent="0.3">
      <c r="A232" s="1"/>
      <c r="B232" s="38">
        <v>231</v>
      </c>
      <c r="C232" s="38" t="str">
        <f ca="1">IFERROR(HYPERLINK(工作表名&amp;"!A1",RIGHT(工作表名,LEN(工作表名)-FIND("]",工作表名))),"")</f>
        <v/>
      </c>
    </row>
    <row r="233" spans="1:3" ht="20.25" x14ac:dyDescent="0.3">
      <c r="A233" s="1"/>
      <c r="B233" s="38">
        <v>232</v>
      </c>
      <c r="C233" s="38" t="str">
        <f ca="1">IFERROR(HYPERLINK(工作表名&amp;"!A1",RIGHT(工作表名,LEN(工作表名)-FIND("]",工作表名))),"")</f>
        <v/>
      </c>
    </row>
    <row r="234" spans="1:3" ht="20.25" x14ac:dyDescent="0.3">
      <c r="A234" s="1"/>
      <c r="B234" s="38">
        <v>233</v>
      </c>
      <c r="C234" s="38" t="str">
        <f ca="1">IFERROR(HYPERLINK(工作表名&amp;"!A1",RIGHT(工作表名,LEN(工作表名)-FIND("]",工作表名))),"")</f>
        <v/>
      </c>
    </row>
    <row r="235" spans="1:3" ht="20.25" x14ac:dyDescent="0.3">
      <c r="A235" s="1"/>
      <c r="B235" s="38">
        <v>234</v>
      </c>
      <c r="C235" s="38" t="str">
        <f ca="1">IFERROR(HYPERLINK(工作表名&amp;"!A1",RIGHT(工作表名,LEN(工作表名)-FIND("]",工作表名))),"")</f>
        <v/>
      </c>
    </row>
    <row r="236" spans="1:3" ht="20.25" x14ac:dyDescent="0.3">
      <c r="A236" s="1"/>
      <c r="B236" s="38">
        <v>235</v>
      </c>
      <c r="C236" s="38" t="str">
        <f ca="1">IFERROR(HYPERLINK(工作表名&amp;"!A1",RIGHT(工作表名,LEN(工作表名)-FIND("]",工作表名))),"")</f>
        <v/>
      </c>
    </row>
    <row r="237" spans="1:3" ht="20.25" x14ac:dyDescent="0.3">
      <c r="A237" s="1"/>
      <c r="B237" s="38">
        <v>236</v>
      </c>
      <c r="C237" s="38" t="str">
        <f ca="1">IFERROR(HYPERLINK(工作表名&amp;"!A1",RIGHT(工作表名,LEN(工作表名)-FIND("]",工作表名))),"")</f>
        <v/>
      </c>
    </row>
    <row r="238" spans="1:3" ht="20.25" x14ac:dyDescent="0.3">
      <c r="A238" s="1"/>
      <c r="B238" s="38">
        <v>237</v>
      </c>
      <c r="C238" s="38" t="str">
        <f ca="1">IFERROR(HYPERLINK(工作表名&amp;"!A1",RIGHT(工作表名,LEN(工作表名)-FIND("]",工作表名))),"")</f>
        <v/>
      </c>
    </row>
    <row r="239" spans="1:3" ht="20.25" x14ac:dyDescent="0.3">
      <c r="A239" s="1"/>
      <c r="B239" s="38">
        <v>238</v>
      </c>
      <c r="C239" s="38" t="str">
        <f ca="1">IFERROR(HYPERLINK(工作表名&amp;"!A1",RIGHT(工作表名,LEN(工作表名)-FIND("]",工作表名))),"")</f>
        <v/>
      </c>
    </row>
    <row r="240" spans="1:3" ht="20.25" x14ac:dyDescent="0.3">
      <c r="A240" s="1"/>
      <c r="B240" s="38">
        <v>239</v>
      </c>
      <c r="C240" s="38" t="str">
        <f ca="1">IFERROR(HYPERLINK(工作表名&amp;"!A1",RIGHT(工作表名,LEN(工作表名)-FIND("]",工作表名))),"")</f>
        <v/>
      </c>
    </row>
    <row r="241" spans="1:3" ht="20.25" x14ac:dyDescent="0.3">
      <c r="A241" s="1"/>
      <c r="B241" s="38">
        <v>240</v>
      </c>
      <c r="C241" s="38" t="str">
        <f ca="1">IFERROR(HYPERLINK(工作表名&amp;"!A1",RIGHT(工作表名,LEN(工作表名)-FIND("]",工作表名))),"")</f>
        <v/>
      </c>
    </row>
    <row r="242" spans="1:3" ht="20.25" x14ac:dyDescent="0.3">
      <c r="A242" s="1"/>
      <c r="B242" s="38">
        <v>241</v>
      </c>
      <c r="C242" s="38" t="str">
        <f ca="1">IFERROR(HYPERLINK(工作表名&amp;"!A1",RIGHT(工作表名,LEN(工作表名)-FIND("]",工作表名))),"")</f>
        <v/>
      </c>
    </row>
    <row r="243" spans="1:3" ht="20.25" x14ac:dyDescent="0.3">
      <c r="A243" s="1"/>
      <c r="B243" s="38">
        <v>242</v>
      </c>
      <c r="C243" s="38" t="str">
        <f ca="1">IFERROR(HYPERLINK(工作表名&amp;"!A1",RIGHT(工作表名,LEN(工作表名)-FIND("]",工作表名))),"")</f>
        <v/>
      </c>
    </row>
    <row r="244" spans="1:3" ht="20.25" x14ac:dyDescent="0.3">
      <c r="A244" s="1"/>
      <c r="B244" s="38">
        <v>243</v>
      </c>
      <c r="C244" s="38" t="str">
        <f ca="1">IFERROR(HYPERLINK(工作表名&amp;"!A1",RIGHT(工作表名,LEN(工作表名)-FIND("]",工作表名))),"")</f>
        <v/>
      </c>
    </row>
    <row r="245" spans="1:3" ht="20.25" x14ac:dyDescent="0.3">
      <c r="A245" s="1"/>
      <c r="B245" s="38">
        <v>244</v>
      </c>
      <c r="C245" s="38" t="str">
        <f ca="1">IFERROR(HYPERLINK(工作表名&amp;"!A1",RIGHT(工作表名,LEN(工作表名)-FIND("]",工作表名))),"")</f>
        <v/>
      </c>
    </row>
    <row r="246" spans="1:3" ht="20.25" x14ac:dyDescent="0.3">
      <c r="A246" s="1"/>
      <c r="B246" s="38">
        <v>245</v>
      </c>
      <c r="C246" s="38" t="str">
        <f ca="1">IFERROR(HYPERLINK(工作表名&amp;"!A1",RIGHT(工作表名,LEN(工作表名)-FIND("]",工作表名))),"")</f>
        <v/>
      </c>
    </row>
    <row r="247" spans="1:3" ht="20.25" x14ac:dyDescent="0.3">
      <c r="A247" s="1"/>
      <c r="B247" s="38">
        <v>246</v>
      </c>
      <c r="C247" s="38" t="str">
        <f ca="1">IFERROR(HYPERLINK(工作表名&amp;"!A1",RIGHT(工作表名,LEN(工作表名)-FIND("]",工作表名))),"")</f>
        <v/>
      </c>
    </row>
    <row r="248" spans="1:3" ht="20.25" x14ac:dyDescent="0.3">
      <c r="A248" s="1"/>
      <c r="B248" s="38">
        <v>247</v>
      </c>
      <c r="C248" s="38" t="str">
        <f ca="1">IFERROR(HYPERLINK(工作表名&amp;"!A1",RIGHT(工作表名,LEN(工作表名)-FIND("]",工作表名))),"")</f>
        <v/>
      </c>
    </row>
    <row r="249" spans="1:3" ht="20.25" x14ac:dyDescent="0.3">
      <c r="A249" s="1"/>
      <c r="B249" s="38">
        <v>248</v>
      </c>
      <c r="C249" s="38" t="str">
        <f ca="1">IFERROR(HYPERLINK(工作表名&amp;"!A1",RIGHT(工作表名,LEN(工作表名)-FIND("]",工作表名))),"")</f>
        <v/>
      </c>
    </row>
    <row r="250" spans="1:3" ht="20.25" x14ac:dyDescent="0.3">
      <c r="A250" s="1"/>
      <c r="B250" s="38">
        <v>249</v>
      </c>
      <c r="C250" s="38" t="str">
        <f ca="1">IFERROR(HYPERLINK(工作表名&amp;"!A1",RIGHT(工作表名,LEN(工作表名)-FIND("]",工作表名))),"")</f>
        <v/>
      </c>
    </row>
    <row r="251" spans="1:3" ht="20.25" x14ac:dyDescent="0.3">
      <c r="A251" s="1"/>
      <c r="B251" s="38">
        <v>250</v>
      </c>
      <c r="C251" s="38" t="str">
        <f ca="1">IFERROR(HYPERLINK(工作表名&amp;"!A1",RIGHT(工作表名,LEN(工作表名)-FIND("]",工作表名))),"")</f>
        <v/>
      </c>
    </row>
    <row r="252" spans="1:3" ht="20.25" x14ac:dyDescent="0.3">
      <c r="A252" s="1"/>
      <c r="B252" s="38">
        <v>251</v>
      </c>
      <c r="C252" s="38" t="str">
        <f ca="1">IFERROR(HYPERLINK(工作表名&amp;"!A1",RIGHT(工作表名,LEN(工作表名)-FIND("]",工作表名))),"")</f>
        <v/>
      </c>
    </row>
    <row r="253" spans="1:3" ht="20.25" x14ac:dyDescent="0.3">
      <c r="A253" s="1"/>
      <c r="B253" s="38">
        <v>252</v>
      </c>
      <c r="C253" s="38" t="str">
        <f ca="1">IFERROR(HYPERLINK(工作表名&amp;"!A1",RIGHT(工作表名,LEN(工作表名)-FIND("]",工作表名))),"")</f>
        <v/>
      </c>
    </row>
    <row r="254" spans="1:3" ht="20.25" x14ac:dyDescent="0.3">
      <c r="A254" s="1"/>
      <c r="B254" s="38">
        <v>253</v>
      </c>
      <c r="C254" s="38" t="str">
        <f ca="1">IFERROR(HYPERLINK(工作表名&amp;"!A1",RIGHT(工作表名,LEN(工作表名)-FIND("]",工作表名))),"")</f>
        <v/>
      </c>
    </row>
    <row r="255" spans="1:3" ht="20.25" x14ac:dyDescent="0.3">
      <c r="A255" s="1"/>
      <c r="B255" s="38">
        <v>254</v>
      </c>
      <c r="C255" s="38" t="str">
        <f ca="1">IFERROR(HYPERLINK(工作表名&amp;"!A1",RIGHT(工作表名,LEN(工作表名)-FIND("]",工作表名))),"")</f>
        <v/>
      </c>
    </row>
    <row r="256" spans="1:3" ht="20.25" x14ac:dyDescent="0.3">
      <c r="A256" s="1"/>
      <c r="B256" s="38">
        <v>255</v>
      </c>
      <c r="C256" s="38" t="str">
        <f ca="1">IFERROR(HYPERLINK(工作表名&amp;"!A1",RIGHT(工作表名,LEN(工作表名)-FIND("]",工作表名))),"")</f>
        <v/>
      </c>
    </row>
    <row r="257" spans="1:3" ht="20.25" x14ac:dyDescent="0.3">
      <c r="A257" s="1"/>
      <c r="B257" s="38">
        <v>256</v>
      </c>
      <c r="C257" s="38" t="str">
        <f ca="1">IFERROR(HYPERLINK(工作表名&amp;"!A1",RIGHT(工作表名,LEN(工作表名)-FIND("]",工作表名))),"")</f>
        <v/>
      </c>
    </row>
    <row r="258" spans="1:3" ht="20.25" x14ac:dyDescent="0.3">
      <c r="A258" s="1"/>
      <c r="B258" s="38">
        <v>257</v>
      </c>
      <c r="C258" s="38" t="str">
        <f ca="1">IFERROR(HYPERLINK(工作表名&amp;"!A1",RIGHT(工作表名,LEN(工作表名)-FIND("]",工作表名))),"")</f>
        <v/>
      </c>
    </row>
    <row r="259" spans="1:3" ht="20.25" x14ac:dyDescent="0.3">
      <c r="A259" s="1"/>
      <c r="B259" s="38">
        <v>258</v>
      </c>
      <c r="C259" s="38" t="str">
        <f ca="1">IFERROR(HYPERLINK(工作表名&amp;"!A1",RIGHT(工作表名,LEN(工作表名)-FIND("]",工作表名))),"")</f>
        <v/>
      </c>
    </row>
    <row r="260" spans="1:3" ht="20.25" x14ac:dyDescent="0.3">
      <c r="A260" s="1"/>
      <c r="B260" s="38">
        <v>259</v>
      </c>
      <c r="C260" s="38" t="str">
        <f ca="1">IFERROR(HYPERLINK(工作表名&amp;"!A1",RIGHT(工作表名,LEN(工作表名)-FIND("]",工作表名))),"")</f>
        <v/>
      </c>
    </row>
    <row r="261" spans="1:3" ht="20.25" x14ac:dyDescent="0.3">
      <c r="A261" s="1"/>
      <c r="B261" s="38">
        <v>260</v>
      </c>
      <c r="C261" s="38" t="str">
        <f ca="1">IFERROR(HYPERLINK(工作表名&amp;"!A1",RIGHT(工作表名,LEN(工作表名)-FIND("]",工作表名))),"")</f>
        <v/>
      </c>
    </row>
    <row r="262" spans="1:3" ht="20.25" x14ac:dyDescent="0.3">
      <c r="A262" s="1"/>
      <c r="B262" s="38">
        <v>261</v>
      </c>
      <c r="C262" s="38" t="str">
        <f ca="1">IFERROR(HYPERLINK(工作表名&amp;"!A1",RIGHT(工作表名,LEN(工作表名)-FIND("]",工作表名))),"")</f>
        <v/>
      </c>
    </row>
    <row r="263" spans="1:3" ht="20.25" x14ac:dyDescent="0.3">
      <c r="A263" s="1"/>
      <c r="B263" s="38">
        <v>262</v>
      </c>
      <c r="C263" s="38" t="str">
        <f ca="1">IFERROR(HYPERLINK(工作表名&amp;"!A1",RIGHT(工作表名,LEN(工作表名)-FIND("]",工作表名))),"")</f>
        <v/>
      </c>
    </row>
    <row r="264" spans="1:3" ht="20.25" x14ac:dyDescent="0.3">
      <c r="A264" s="1"/>
      <c r="B264" s="38">
        <v>263</v>
      </c>
      <c r="C264" s="38" t="str">
        <f ca="1">IFERROR(HYPERLINK(工作表名&amp;"!A1",RIGHT(工作表名,LEN(工作表名)-FIND("]",工作表名))),"")</f>
        <v/>
      </c>
    </row>
    <row r="265" spans="1:3" ht="20.25" x14ac:dyDescent="0.3">
      <c r="A265" s="1"/>
      <c r="B265" s="38">
        <v>264</v>
      </c>
      <c r="C265" s="38" t="str">
        <f ca="1">IFERROR(HYPERLINK(工作表名&amp;"!A1",RIGHT(工作表名,LEN(工作表名)-FIND("]",工作表名))),"")</f>
        <v/>
      </c>
    </row>
    <row r="266" spans="1:3" ht="20.25" x14ac:dyDescent="0.3">
      <c r="A266" s="1"/>
      <c r="B266" s="38">
        <v>265</v>
      </c>
      <c r="C266" s="38" t="str">
        <f ca="1">IFERROR(HYPERLINK(工作表名&amp;"!A1",RIGHT(工作表名,LEN(工作表名)-FIND("]",工作表名))),"")</f>
        <v/>
      </c>
    </row>
    <row r="267" spans="1:3" ht="20.25" x14ac:dyDescent="0.3">
      <c r="A267" s="1"/>
      <c r="B267" s="38">
        <v>266</v>
      </c>
      <c r="C267" s="38" t="str">
        <f ca="1">IFERROR(HYPERLINK(工作表名&amp;"!A1",RIGHT(工作表名,LEN(工作表名)-FIND("]",工作表名))),"")</f>
        <v/>
      </c>
    </row>
    <row r="268" spans="1:3" ht="20.25" x14ac:dyDescent="0.3">
      <c r="A268" s="1"/>
      <c r="B268" s="38">
        <v>267</v>
      </c>
      <c r="C268" s="38" t="str">
        <f ca="1">IFERROR(HYPERLINK(工作表名&amp;"!A1",RIGHT(工作表名,LEN(工作表名)-FIND("]",工作表名))),"")</f>
        <v/>
      </c>
    </row>
    <row r="269" spans="1:3" ht="20.25" x14ac:dyDescent="0.3">
      <c r="A269" s="1"/>
      <c r="B269" s="38">
        <v>268</v>
      </c>
      <c r="C269" s="38" t="str">
        <f ca="1">IFERROR(HYPERLINK(工作表名&amp;"!A1",RIGHT(工作表名,LEN(工作表名)-FIND("]",工作表名))),"")</f>
        <v/>
      </c>
    </row>
    <row r="270" spans="1:3" ht="20.25" x14ac:dyDescent="0.3">
      <c r="A270" s="1"/>
      <c r="B270" s="38">
        <v>269</v>
      </c>
      <c r="C270" s="38" t="str">
        <f ca="1">IFERROR(HYPERLINK(工作表名&amp;"!A1",RIGHT(工作表名,LEN(工作表名)-FIND("]",工作表名))),"")</f>
        <v/>
      </c>
    </row>
    <row r="271" spans="1:3" ht="20.25" x14ac:dyDescent="0.3">
      <c r="A271" s="1"/>
      <c r="B271" s="38">
        <v>270</v>
      </c>
      <c r="C271" s="38" t="str">
        <f ca="1">IFERROR(HYPERLINK(工作表名&amp;"!A1",RIGHT(工作表名,LEN(工作表名)-FIND("]",工作表名))),"")</f>
        <v/>
      </c>
    </row>
    <row r="272" spans="1:3" ht="20.25" x14ac:dyDescent="0.3">
      <c r="A272" s="1"/>
      <c r="B272" s="38">
        <v>271</v>
      </c>
      <c r="C272" s="38" t="str">
        <f ca="1">IFERROR(HYPERLINK(工作表名&amp;"!A1",RIGHT(工作表名,LEN(工作表名)-FIND("]",工作表名))),"")</f>
        <v/>
      </c>
    </row>
    <row r="273" spans="1:3" ht="20.25" x14ac:dyDescent="0.3">
      <c r="A273" s="1"/>
      <c r="B273" s="38">
        <v>272</v>
      </c>
      <c r="C273" s="38" t="str">
        <f ca="1">IFERROR(HYPERLINK(工作表名&amp;"!A1",RIGHT(工作表名,LEN(工作表名)-FIND("]",工作表名))),"")</f>
        <v/>
      </c>
    </row>
    <row r="274" spans="1:3" ht="20.25" x14ac:dyDescent="0.3">
      <c r="A274" s="1"/>
      <c r="B274" s="38">
        <v>273</v>
      </c>
      <c r="C274" s="38" t="str">
        <f ca="1">IFERROR(HYPERLINK(工作表名&amp;"!A1",RIGHT(工作表名,LEN(工作表名)-FIND("]",工作表名))),"")</f>
        <v/>
      </c>
    </row>
    <row r="275" spans="1:3" ht="20.25" x14ac:dyDescent="0.3">
      <c r="A275" s="1"/>
      <c r="B275" s="38">
        <v>274</v>
      </c>
      <c r="C275" s="38" t="str">
        <f ca="1">IFERROR(HYPERLINK(工作表名&amp;"!A1",RIGHT(工作表名,LEN(工作表名)-FIND("]",工作表名))),"")</f>
        <v/>
      </c>
    </row>
    <row r="276" spans="1:3" ht="20.25" x14ac:dyDescent="0.3">
      <c r="A276" s="1"/>
      <c r="B276" s="38">
        <v>275</v>
      </c>
      <c r="C276" s="38" t="str">
        <f ca="1">IFERROR(HYPERLINK(工作表名&amp;"!A1",RIGHT(工作表名,LEN(工作表名)-FIND("]",工作表名))),"")</f>
        <v/>
      </c>
    </row>
    <row r="277" spans="1:3" ht="20.25" x14ac:dyDescent="0.3">
      <c r="A277" s="1"/>
      <c r="B277" s="38">
        <v>276</v>
      </c>
      <c r="C277" s="38" t="str">
        <f ca="1">IFERROR(HYPERLINK(工作表名&amp;"!A1",RIGHT(工作表名,LEN(工作表名)-FIND("]",工作表名))),"")</f>
        <v/>
      </c>
    </row>
    <row r="278" spans="1:3" ht="20.25" x14ac:dyDescent="0.3">
      <c r="A278" s="1"/>
      <c r="B278" s="38">
        <v>277</v>
      </c>
      <c r="C278" s="38" t="str">
        <f ca="1">IFERROR(HYPERLINK(工作表名&amp;"!A1",RIGHT(工作表名,LEN(工作表名)-FIND("]",工作表名))),"")</f>
        <v/>
      </c>
    </row>
    <row r="279" spans="1:3" ht="20.25" x14ac:dyDescent="0.3">
      <c r="A279" s="1"/>
      <c r="B279" s="38">
        <v>278</v>
      </c>
      <c r="C279" s="38" t="str">
        <f ca="1">IFERROR(HYPERLINK(工作表名&amp;"!A1",RIGHT(工作表名,LEN(工作表名)-FIND("]",工作表名))),"")</f>
        <v/>
      </c>
    </row>
    <row r="280" spans="1:3" ht="20.25" x14ac:dyDescent="0.3">
      <c r="A280" s="1"/>
      <c r="B280" s="38">
        <v>279</v>
      </c>
      <c r="C280" s="38" t="str">
        <f ca="1">IFERROR(HYPERLINK(工作表名&amp;"!A1",RIGHT(工作表名,LEN(工作表名)-FIND("]",工作表名))),"")</f>
        <v/>
      </c>
    </row>
    <row r="281" spans="1:3" ht="20.25" x14ac:dyDescent="0.3">
      <c r="A281" s="1"/>
      <c r="B281" s="38">
        <v>280</v>
      </c>
      <c r="C281" s="38" t="str">
        <f ca="1">IFERROR(HYPERLINK(工作表名&amp;"!A1",RIGHT(工作表名,LEN(工作表名)-FIND("]",工作表名))),"")</f>
        <v/>
      </c>
    </row>
    <row r="282" spans="1:3" ht="20.25" x14ac:dyDescent="0.3">
      <c r="A282" s="1"/>
      <c r="B282" s="38">
        <v>281</v>
      </c>
      <c r="C282" s="38" t="str">
        <f ca="1">IFERROR(HYPERLINK(工作表名&amp;"!A1",RIGHT(工作表名,LEN(工作表名)-FIND("]",工作表名))),"")</f>
        <v/>
      </c>
    </row>
    <row r="283" spans="1:3" ht="20.25" x14ac:dyDescent="0.3">
      <c r="A283" s="1"/>
      <c r="B283" s="38">
        <v>282</v>
      </c>
      <c r="C283" s="38" t="str">
        <f ca="1">IFERROR(HYPERLINK(工作表名&amp;"!A1",RIGHT(工作表名,LEN(工作表名)-FIND("]",工作表名))),"")</f>
        <v/>
      </c>
    </row>
    <row r="284" spans="1:3" ht="20.25" x14ac:dyDescent="0.3">
      <c r="A284" s="1"/>
      <c r="B284" s="38">
        <v>283</v>
      </c>
      <c r="C284" s="38" t="str">
        <f ca="1">IFERROR(HYPERLINK(工作表名&amp;"!A1",RIGHT(工作表名,LEN(工作表名)-FIND("]",工作表名))),"")</f>
        <v/>
      </c>
    </row>
    <row r="285" spans="1:3" ht="20.25" x14ac:dyDescent="0.3">
      <c r="A285" s="1"/>
      <c r="B285" s="38">
        <v>284</v>
      </c>
      <c r="C285" s="38" t="str">
        <f ca="1">IFERROR(HYPERLINK(工作表名&amp;"!A1",RIGHT(工作表名,LEN(工作表名)-FIND("]",工作表名))),"")</f>
        <v/>
      </c>
    </row>
    <row r="286" spans="1:3" ht="20.25" x14ac:dyDescent="0.3">
      <c r="A286" s="1"/>
      <c r="B286" s="38">
        <v>285</v>
      </c>
      <c r="C286" s="38" t="str">
        <f ca="1">IFERROR(HYPERLINK(工作表名&amp;"!A1",RIGHT(工作表名,LEN(工作表名)-FIND("]",工作表名))),"")</f>
        <v/>
      </c>
    </row>
    <row r="287" spans="1:3" ht="20.25" x14ac:dyDescent="0.3">
      <c r="A287" s="1"/>
      <c r="B287" s="38">
        <v>286</v>
      </c>
      <c r="C287" s="38" t="str">
        <f ca="1">IFERROR(HYPERLINK(工作表名&amp;"!A1",RIGHT(工作表名,LEN(工作表名)-FIND("]",工作表名))),"")</f>
        <v/>
      </c>
    </row>
    <row r="288" spans="1:3" ht="20.25" x14ac:dyDescent="0.3">
      <c r="A288" s="1"/>
      <c r="B288" s="38">
        <v>287</v>
      </c>
      <c r="C288" s="38" t="str">
        <f ca="1">IFERROR(HYPERLINK(工作表名&amp;"!A1",RIGHT(工作表名,LEN(工作表名)-FIND("]",工作表名))),"")</f>
        <v/>
      </c>
    </row>
    <row r="289" spans="1:3" ht="20.25" x14ac:dyDescent="0.3">
      <c r="A289" s="1"/>
      <c r="B289" s="38">
        <v>288</v>
      </c>
      <c r="C289" s="38" t="str">
        <f ca="1">IFERROR(HYPERLINK(工作表名&amp;"!A1",RIGHT(工作表名,LEN(工作表名)-FIND("]",工作表名))),"")</f>
        <v/>
      </c>
    </row>
    <row r="290" spans="1:3" ht="20.25" x14ac:dyDescent="0.3">
      <c r="A290" s="1"/>
      <c r="B290" s="38">
        <v>289</v>
      </c>
      <c r="C290" s="38" t="str">
        <f ca="1">IFERROR(HYPERLINK(工作表名&amp;"!A1",RIGHT(工作表名,LEN(工作表名)-FIND("]",工作表名))),"")</f>
        <v/>
      </c>
    </row>
    <row r="291" spans="1:3" ht="20.25" x14ac:dyDescent="0.3">
      <c r="A291" s="1"/>
      <c r="B291" s="38">
        <v>290</v>
      </c>
      <c r="C291" s="38" t="str">
        <f ca="1">IFERROR(HYPERLINK(工作表名&amp;"!A1",RIGHT(工作表名,LEN(工作表名)-FIND("]",工作表名))),"")</f>
        <v/>
      </c>
    </row>
    <row r="292" spans="1:3" ht="20.25" x14ac:dyDescent="0.3">
      <c r="A292" s="1"/>
      <c r="B292" s="38">
        <v>291</v>
      </c>
      <c r="C292" s="38" t="str">
        <f ca="1">IFERROR(HYPERLINK(工作表名&amp;"!A1",RIGHT(工作表名,LEN(工作表名)-FIND("]",工作表名))),"")</f>
        <v/>
      </c>
    </row>
    <row r="293" spans="1:3" ht="20.25" x14ac:dyDescent="0.3">
      <c r="A293" s="1"/>
      <c r="B293" s="38">
        <v>292</v>
      </c>
      <c r="C293" s="38" t="str">
        <f ca="1">IFERROR(HYPERLINK(工作表名&amp;"!A1",RIGHT(工作表名,LEN(工作表名)-FIND("]",工作表名))),"")</f>
        <v/>
      </c>
    </row>
    <row r="294" spans="1:3" ht="20.25" x14ac:dyDescent="0.3">
      <c r="A294" s="1"/>
      <c r="B294" s="38">
        <v>293</v>
      </c>
      <c r="C294" s="38" t="str">
        <f ca="1">IFERROR(HYPERLINK(工作表名&amp;"!A1",RIGHT(工作表名,LEN(工作表名)-FIND("]",工作表名))),"")</f>
        <v/>
      </c>
    </row>
    <row r="295" spans="1:3" ht="20.25" x14ac:dyDescent="0.3">
      <c r="A295" s="1"/>
      <c r="B295" s="38">
        <v>294</v>
      </c>
      <c r="C295" s="38" t="str">
        <f ca="1">IFERROR(HYPERLINK(工作表名&amp;"!A1",RIGHT(工作表名,LEN(工作表名)-FIND("]",工作表名))),"")</f>
        <v/>
      </c>
    </row>
    <row r="296" spans="1:3" ht="20.25" x14ac:dyDescent="0.3">
      <c r="A296" s="1"/>
      <c r="B296" s="38">
        <v>295</v>
      </c>
      <c r="C296" s="38" t="str">
        <f ca="1">IFERROR(HYPERLINK(工作表名&amp;"!A1",RIGHT(工作表名,LEN(工作表名)-FIND("]",工作表名))),"")</f>
        <v/>
      </c>
    </row>
    <row r="297" spans="1:3" ht="20.25" x14ac:dyDescent="0.3">
      <c r="A297" s="1"/>
      <c r="B297" s="38">
        <v>296</v>
      </c>
      <c r="C297" s="38" t="str">
        <f ca="1">IFERROR(HYPERLINK(工作表名&amp;"!A1",RIGHT(工作表名,LEN(工作表名)-FIND("]",工作表名))),"")</f>
        <v/>
      </c>
    </row>
    <row r="298" spans="1:3" ht="20.25" x14ac:dyDescent="0.3">
      <c r="A298" s="1"/>
      <c r="B298" s="38">
        <v>297</v>
      </c>
      <c r="C298" s="38" t="str">
        <f ca="1">IFERROR(HYPERLINK(工作表名&amp;"!A1",RIGHT(工作表名,LEN(工作表名)-FIND("]",工作表名))),"")</f>
        <v/>
      </c>
    </row>
    <row r="299" spans="1:3" ht="20.25" x14ac:dyDescent="0.3">
      <c r="B299" s="38">
        <v>298</v>
      </c>
      <c r="C299" s="38" t="str">
        <f ca="1">IFERROR(HYPERLINK(工作表名&amp;"!A1",RIGHT(工作表名,LEN(工作表名)-FIND("]",工作表名))),"")</f>
        <v/>
      </c>
    </row>
    <row r="300" spans="1:3" ht="20.25" x14ac:dyDescent="0.3">
      <c r="B300" s="38">
        <v>299</v>
      </c>
      <c r="C300" s="38" t="str">
        <f ca="1">IFERROR(HYPERLINK(工作表名&amp;"!A1",RIGHT(工作表名,LEN(工作表名)-FIND("]",工作表名))),"")</f>
        <v/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C2:BC57"/>
  <sheetViews>
    <sheetView zoomScale="70" zoomScaleNormal="70" workbookViewId="0">
      <selection activeCell="F53" sqref="F53:F54"/>
    </sheetView>
  </sheetViews>
  <sheetFormatPr defaultRowHeight="16.5" x14ac:dyDescent="0.3"/>
  <cols>
    <col min="1" max="2" width="9.140625" style="1"/>
    <col min="3" max="3" width="11.7109375" style="1" customWidth="1"/>
    <col min="4" max="4" width="9.5703125" style="1" customWidth="1"/>
    <col min="5" max="11" width="9.140625" style="1"/>
    <col min="12" max="12" width="11.7109375" style="1" customWidth="1"/>
    <col min="13" max="20" width="9.140625" style="1"/>
    <col min="21" max="21" width="11.7109375" style="1" customWidth="1"/>
    <col min="22" max="29" width="9.140625" style="1"/>
    <col min="30" max="30" width="11.7109375" style="1" customWidth="1"/>
    <col min="31" max="38" width="9.140625" style="1"/>
    <col min="39" max="39" width="11.7109375" style="1" customWidth="1"/>
    <col min="40" max="47" width="9.140625" style="1"/>
    <col min="48" max="48" width="11.7109375" style="1" customWidth="1"/>
    <col min="49" max="16384" width="9.140625" style="1"/>
  </cols>
  <sheetData>
    <row r="2" spans="3:55" ht="33.75" x14ac:dyDescent="0.3">
      <c r="C2" s="40" t="s">
        <v>62</v>
      </c>
      <c r="D2" s="41"/>
      <c r="E2" s="41"/>
      <c r="F2" s="41"/>
      <c r="G2" s="41"/>
      <c r="H2" s="41"/>
      <c r="I2" s="41"/>
      <c r="J2" s="41"/>
      <c r="L2" s="40" t="s">
        <v>63</v>
      </c>
      <c r="M2" s="41"/>
      <c r="N2" s="41"/>
      <c r="O2" s="41"/>
      <c r="P2" s="41"/>
      <c r="Q2" s="41"/>
      <c r="R2" s="41"/>
      <c r="S2" s="41"/>
      <c r="U2" s="40" t="s">
        <v>64</v>
      </c>
      <c r="V2" s="41"/>
      <c r="W2" s="41"/>
      <c r="X2" s="41"/>
      <c r="Y2" s="41"/>
      <c r="Z2" s="41"/>
      <c r="AA2" s="41"/>
      <c r="AB2" s="41"/>
      <c r="AD2" s="40" t="s">
        <v>65</v>
      </c>
      <c r="AE2" s="41"/>
      <c r="AF2" s="41"/>
      <c r="AG2" s="41"/>
      <c r="AH2" s="41"/>
      <c r="AI2" s="41"/>
      <c r="AJ2" s="41"/>
      <c r="AK2" s="41"/>
      <c r="AM2" s="40" t="s">
        <v>66</v>
      </c>
      <c r="AN2" s="41"/>
      <c r="AO2" s="41"/>
      <c r="AP2" s="41"/>
      <c r="AQ2" s="41"/>
      <c r="AR2" s="41"/>
      <c r="AS2" s="41"/>
      <c r="AT2" s="41"/>
      <c r="AV2" s="40" t="s">
        <v>67</v>
      </c>
      <c r="AW2" s="41"/>
      <c r="AX2" s="41"/>
      <c r="AY2" s="41"/>
      <c r="AZ2" s="41"/>
      <c r="BA2" s="41"/>
      <c r="BB2" s="41"/>
      <c r="BC2" s="41"/>
    </row>
    <row r="3" spans="3:55" x14ac:dyDescent="0.3">
      <c r="C3" s="2" t="s">
        <v>0</v>
      </c>
      <c r="D3" s="2" t="s">
        <v>7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L3" s="8" t="s">
        <v>0</v>
      </c>
      <c r="M3" s="9" t="s">
        <v>7</v>
      </c>
      <c r="N3" s="9" t="s">
        <v>1</v>
      </c>
      <c r="O3" s="9" t="s">
        <v>2</v>
      </c>
      <c r="P3" s="9" t="s">
        <v>3</v>
      </c>
      <c r="Q3" s="9" t="s">
        <v>4</v>
      </c>
      <c r="R3" s="9" t="s">
        <v>5</v>
      </c>
      <c r="S3" s="10" t="s">
        <v>6</v>
      </c>
      <c r="U3" s="8" t="s">
        <v>0</v>
      </c>
      <c r="V3" s="9" t="s">
        <v>7</v>
      </c>
      <c r="W3" s="9" t="s">
        <v>1</v>
      </c>
      <c r="X3" s="9" t="s">
        <v>2</v>
      </c>
      <c r="Y3" s="9" t="s">
        <v>3</v>
      </c>
      <c r="Z3" s="9" t="s">
        <v>4</v>
      </c>
      <c r="AA3" s="9" t="s">
        <v>5</v>
      </c>
      <c r="AB3" s="10" t="s">
        <v>6</v>
      </c>
      <c r="AD3" s="8" t="s">
        <v>0</v>
      </c>
      <c r="AE3" s="9" t="s">
        <v>7</v>
      </c>
      <c r="AF3" s="9" t="s">
        <v>1</v>
      </c>
      <c r="AG3" s="9" t="s">
        <v>2</v>
      </c>
      <c r="AH3" s="9" t="s">
        <v>3</v>
      </c>
      <c r="AI3" s="9" t="s">
        <v>4</v>
      </c>
      <c r="AJ3" s="9" t="s">
        <v>5</v>
      </c>
      <c r="AK3" s="10" t="s">
        <v>6</v>
      </c>
      <c r="AM3" s="8" t="s">
        <v>0</v>
      </c>
      <c r="AN3" s="9" t="s">
        <v>7</v>
      </c>
      <c r="AO3" s="9" t="s">
        <v>1</v>
      </c>
      <c r="AP3" s="9" t="s">
        <v>2</v>
      </c>
      <c r="AQ3" s="9" t="s">
        <v>3</v>
      </c>
      <c r="AR3" s="9" t="s">
        <v>4</v>
      </c>
      <c r="AS3" s="9" t="s">
        <v>5</v>
      </c>
      <c r="AT3" s="10" t="s">
        <v>6</v>
      </c>
      <c r="AV3" s="8" t="s">
        <v>0</v>
      </c>
      <c r="AW3" s="9" t="s">
        <v>7</v>
      </c>
      <c r="AX3" s="9" t="s">
        <v>1</v>
      </c>
      <c r="AY3" s="9" t="s">
        <v>2</v>
      </c>
      <c r="AZ3" s="9" t="s">
        <v>3</v>
      </c>
      <c r="BA3" s="9" t="s">
        <v>4</v>
      </c>
      <c r="BB3" s="9" t="s">
        <v>5</v>
      </c>
      <c r="BC3" s="10" t="s">
        <v>6</v>
      </c>
    </row>
    <row r="4" spans="3:55" x14ac:dyDescent="0.3">
      <c r="C4" s="2" t="s">
        <v>8</v>
      </c>
      <c r="D4" s="2">
        <f t="shared" ref="D4:D35" si="0">INDEX($D$41:$D$57,MATCH($C4,$C$41:$C$57,0),1)</f>
        <v>14.85</v>
      </c>
      <c r="E4" s="18">
        <f t="shared" ref="E4:E35" si="1">INDEX($E$41:$E$57,MATCH($C4,$C$41:$C$57,0),1)</f>
        <v>1.1953879999999999</v>
      </c>
      <c r="F4" s="18">
        <f t="shared" ref="F4:F35" si="2">INDEX($F$41:$F$57,MATCH($C4,$C$41:$C$57,0),1)</f>
        <v>8.1234749999999991</v>
      </c>
      <c r="G4" s="18">
        <f t="shared" ref="G4:G35" si="3">INDEX($G$41:$G$57,MATCH($C4,$C$41:$C$57,0),1)</f>
        <v>2.9868649999999999</v>
      </c>
      <c r="H4" s="18">
        <f t="shared" ref="H4:H35" si="4">INDEX($H$41:$H$57,MATCH($C4,$C$41:$C$57,0),1)</f>
        <v>62.839647999999997</v>
      </c>
      <c r="I4" s="2">
        <f t="shared" ref="I4:I35" si="5">INDEX($I$41:$I$57,MATCH($C4,$C$41:$C$57,0),1)</f>
        <v>22.95</v>
      </c>
      <c r="J4" s="2">
        <f t="shared" ref="J4:J35" si="6">INDEX($J$41:$J$57,MATCH($C4,$C$41:$C$57,0),1)</f>
        <v>4</v>
      </c>
      <c r="L4" s="7" t="s">
        <v>14</v>
      </c>
      <c r="M4" s="2">
        <f t="shared" ref="M4:M32" si="7">INDEX($D$41:$D$57,MATCH(L4,$C$41:$C$57,0),1)</f>
        <v>15</v>
      </c>
      <c r="N4" s="18">
        <f t="shared" ref="N4:N32" si="8">INDEX($E$41:$E$57,MATCH($L4,$C$41:$C$57,0),1)</f>
        <v>1.1953879999999999</v>
      </c>
      <c r="O4" s="18">
        <f t="shared" ref="O4:O32" si="9">INDEX($F$41:$F$57,MATCH($L4,$C$41:$C$57,0),1)</f>
        <v>8.1234749999999991</v>
      </c>
      <c r="P4" s="18">
        <f t="shared" ref="P4:P32" si="10">INDEX($G$41:$G$57,MATCH($L4,$C$41:$C$57,0),1)</f>
        <v>2.9868649999999999</v>
      </c>
      <c r="Q4" s="18">
        <f t="shared" ref="Q4:Q32" si="11">INDEX($H$41:$H$57,MATCH($L4,$C$41:$C$57,0),1)</f>
        <v>62.839647999999997</v>
      </c>
      <c r="R4" s="2">
        <f t="shared" ref="R4:R32" si="12">INDEX($I$41:$I$57,MATCH(L4,$C$41:$C$57,0),1)</f>
        <v>22.95</v>
      </c>
      <c r="S4" s="5">
        <f t="shared" ref="S4:S32" si="13">INDEX($J$41:$J$57,MATCH(L4,$C$41:$C$57,0),1)</f>
        <v>4</v>
      </c>
      <c r="U4" s="7" t="s">
        <v>14</v>
      </c>
      <c r="V4" s="2">
        <f t="shared" ref="V4:V32" si="14">INDEX($D$41:$D$57,MATCH(U4,$C$41:$C$57,0),1)</f>
        <v>15</v>
      </c>
      <c r="W4" s="18">
        <f t="shared" ref="W4:W32" si="15">INDEX($E$41:$E$57,MATCH($U4,$C$41:$C$57,0),1)</f>
        <v>1.1953879999999999</v>
      </c>
      <c r="X4" s="18">
        <f t="shared" ref="X4:X32" si="16">INDEX($F$41:$F$57,MATCH($U4,$C$41:$C$57,0),1)</f>
        <v>8.1234749999999991</v>
      </c>
      <c r="Y4" s="18">
        <f t="shared" ref="Y4:Y32" si="17">INDEX($G$41:$G$57,MATCH($U4,$C$41:$C$57,0),1)</f>
        <v>2.9868649999999999</v>
      </c>
      <c r="Z4" s="18">
        <f t="shared" ref="Z4:Z32" si="18">INDEX($H$41:$H$57,MATCH($U4,$C$41:$C$57,0),1)</f>
        <v>62.839647999999997</v>
      </c>
      <c r="AA4" s="2">
        <f t="shared" ref="AA4:AA32" si="19">INDEX($I$41:$I$57,MATCH(U4,$C$41:$C$57,0),1)</f>
        <v>22.95</v>
      </c>
      <c r="AB4" s="5">
        <f t="shared" ref="AB4:AB32" si="20">INDEX($J$41:$J$57,MATCH(U4,$C$41:$C$57,0),1)</f>
        <v>4</v>
      </c>
      <c r="AD4" s="7" t="s">
        <v>23</v>
      </c>
      <c r="AE4" s="2">
        <f t="shared" ref="AE4:AE32" si="21">INDEX($D$41:$D$57,MATCH(AD4,$C$41:$C$57,0),1)</f>
        <v>13.9</v>
      </c>
      <c r="AF4" s="18">
        <f t="shared" ref="AF4:AF32" si="22">INDEX($E$41:$E$57,MATCH($AD4,$C$41:$C$57,0),1)</f>
        <v>1.1953879999999999</v>
      </c>
      <c r="AG4" s="18">
        <f t="shared" ref="AG4:AG32" si="23">INDEX($F$41:$F$57,MATCH($AD4,$C$41:$C$57,0),1)</f>
        <v>8.1234749999999991</v>
      </c>
      <c r="AH4" s="18">
        <f t="shared" ref="AH4:AH32" si="24">INDEX($G$41:$G$57,MATCH($AD4,$C$41:$C$57,0),1)</f>
        <v>2.9868649999999999</v>
      </c>
      <c r="AI4" s="18">
        <f t="shared" ref="AI4:AI32" si="25">INDEX($H$41:$H$57,MATCH($AD4,$C$41:$C$57,0),1)</f>
        <v>62.839647999999997</v>
      </c>
      <c r="AJ4" s="2">
        <f t="shared" ref="AJ4:AJ32" si="26">INDEX($I$41:$I$57,MATCH(AD4,$C$41:$C$57,0),1)</f>
        <v>22.95</v>
      </c>
      <c r="AK4" s="5">
        <f t="shared" ref="AK4:AK32" si="27">INDEX($J$41:$J$57,MATCH(AD4,$C$41:$C$57,0),1)</f>
        <v>4</v>
      </c>
      <c r="AM4" s="7" t="s">
        <v>14</v>
      </c>
      <c r="AN4" s="2">
        <f t="shared" ref="AN4:AN32" si="28">INDEX($D$41:$D$57,MATCH(AM4,$C$41:$C$57,0),1)</f>
        <v>15</v>
      </c>
      <c r="AO4" s="18">
        <f t="shared" ref="AO4:AO32" si="29">INDEX($E$41:$E$57,MATCH(AM4,$C$41:$C$57,0),1)</f>
        <v>1.1953879999999999</v>
      </c>
      <c r="AP4" s="18">
        <f t="shared" ref="AP4:AP32" si="30">INDEX($F$41:$F$57,MATCH(AM4,$C$41:$C$57,0),1)</f>
        <v>8.1234749999999991</v>
      </c>
      <c r="AQ4" s="18">
        <f t="shared" ref="AQ4:AQ32" si="31">INDEX($G$41:$G$57,MATCH(AM4,$C$41:$C$57,0),1)</f>
        <v>2.9868649999999999</v>
      </c>
      <c r="AR4" s="18">
        <f t="shared" ref="AR4:AR32" si="32">INDEX($H$41:$H$57,MATCH(AM4,$C$41:$C$57,0),1)</f>
        <v>62.839647999999997</v>
      </c>
      <c r="AS4" s="2">
        <f t="shared" ref="AS4:AS32" si="33">INDEX($I$41:$I$57,MATCH(AM4,$C$41:$C$57,0),1)</f>
        <v>22.95</v>
      </c>
      <c r="AT4" s="5">
        <f t="shared" ref="AT4:AT32" si="34">INDEX($J$41:$J$57,MATCH(AM4,$C$41:$C$57,0),1)</f>
        <v>4</v>
      </c>
      <c r="AV4" s="7" t="s">
        <v>14</v>
      </c>
      <c r="AW4" s="2">
        <f t="shared" ref="AW4:AW35" si="35">INDEX($D$41:$D$57,MATCH(AV4,$C$41:$C$57,0),1)</f>
        <v>15</v>
      </c>
      <c r="AX4" s="18">
        <f t="shared" ref="AX4:AX35" si="36">INDEX($E$41:$E$57,MATCH(AV4,$C$41:$C$57,0),1)</f>
        <v>1.1953879999999999</v>
      </c>
      <c r="AY4" s="18">
        <f t="shared" ref="AY4:AY35" si="37">INDEX($F$41:$F$57,MATCH(AV4,$C$41:$C$57,0),1)</f>
        <v>8.1234749999999991</v>
      </c>
      <c r="AZ4" s="18">
        <f t="shared" ref="AZ4:AZ35" si="38">INDEX($G$41:$G$57,MATCH(AV4,$C$41:$C$57,0),1)</f>
        <v>2.9868649999999999</v>
      </c>
      <c r="BA4" s="18">
        <f t="shared" ref="BA4:BA35" si="39">INDEX($H$41:$H$57,MATCH(AV4,$C$41:$C$57,0),1)</f>
        <v>62.839647999999997</v>
      </c>
      <c r="BB4" s="2">
        <f t="shared" ref="BB4:BB35" si="40">INDEX($I$41:$I$57,MATCH(AV4,$C$41:$C$57,0),1)</f>
        <v>22.95</v>
      </c>
      <c r="BC4" s="5">
        <f t="shared" ref="BC4:BC35" si="41">INDEX($J$41:$J$57,MATCH(AV4,$C$41:$C$57,0),1)</f>
        <v>4</v>
      </c>
    </row>
    <row r="5" spans="3:55" x14ac:dyDescent="0.3">
      <c r="C5" s="2" t="s">
        <v>9</v>
      </c>
      <c r="D5" s="2">
        <f t="shared" si="0"/>
        <v>15</v>
      </c>
      <c r="E5" s="18">
        <f t="shared" si="1"/>
        <v>1.1953879999999999</v>
      </c>
      <c r="F5" s="18">
        <f t="shared" si="2"/>
        <v>8.1234749999999991</v>
      </c>
      <c r="G5" s="18">
        <f t="shared" si="3"/>
        <v>2.9868649999999999</v>
      </c>
      <c r="H5" s="18">
        <f t="shared" si="4"/>
        <v>62.839647999999997</v>
      </c>
      <c r="I5" s="2">
        <f t="shared" si="5"/>
        <v>22.95</v>
      </c>
      <c r="J5" s="2">
        <f t="shared" si="6"/>
        <v>4</v>
      </c>
      <c r="L5" s="7" t="s">
        <v>16</v>
      </c>
      <c r="M5" s="2">
        <f t="shared" si="7"/>
        <v>15</v>
      </c>
      <c r="N5" s="18">
        <f t="shared" si="8"/>
        <v>1.1953879999999999</v>
      </c>
      <c r="O5" s="18">
        <f t="shared" si="9"/>
        <v>8.1234749999999991</v>
      </c>
      <c r="P5" s="18">
        <f t="shared" si="10"/>
        <v>2.9868649999999999</v>
      </c>
      <c r="Q5" s="18">
        <f t="shared" si="11"/>
        <v>62.839647999999997</v>
      </c>
      <c r="R5" s="2">
        <f t="shared" si="12"/>
        <v>22.95</v>
      </c>
      <c r="S5" s="5">
        <f t="shared" si="13"/>
        <v>4</v>
      </c>
      <c r="U5" s="7" t="s">
        <v>16</v>
      </c>
      <c r="V5" s="2">
        <f t="shared" si="14"/>
        <v>15</v>
      </c>
      <c r="W5" s="18">
        <f t="shared" si="15"/>
        <v>1.1953879999999999</v>
      </c>
      <c r="X5" s="18">
        <f t="shared" si="16"/>
        <v>8.1234749999999991</v>
      </c>
      <c r="Y5" s="18">
        <f t="shared" si="17"/>
        <v>2.9868649999999999</v>
      </c>
      <c r="Z5" s="18">
        <f t="shared" si="18"/>
        <v>62.839647999999997</v>
      </c>
      <c r="AA5" s="2">
        <f t="shared" si="19"/>
        <v>22.95</v>
      </c>
      <c r="AB5" s="5">
        <f t="shared" si="20"/>
        <v>4</v>
      </c>
      <c r="AD5" s="7" t="s">
        <v>16</v>
      </c>
      <c r="AE5" s="2">
        <f t="shared" si="21"/>
        <v>15</v>
      </c>
      <c r="AF5" s="18">
        <f t="shared" si="22"/>
        <v>1.1953879999999999</v>
      </c>
      <c r="AG5" s="18">
        <f t="shared" si="23"/>
        <v>8.1234749999999991</v>
      </c>
      <c r="AH5" s="18">
        <f t="shared" si="24"/>
        <v>2.9868649999999999</v>
      </c>
      <c r="AI5" s="18">
        <f t="shared" si="25"/>
        <v>62.839647999999997</v>
      </c>
      <c r="AJ5" s="2">
        <f t="shared" si="26"/>
        <v>22.95</v>
      </c>
      <c r="AK5" s="5">
        <f t="shared" si="27"/>
        <v>4</v>
      </c>
      <c r="AM5" s="7" t="s">
        <v>16</v>
      </c>
      <c r="AN5" s="2">
        <f t="shared" si="28"/>
        <v>15</v>
      </c>
      <c r="AO5" s="18">
        <f t="shared" si="29"/>
        <v>1.1953879999999999</v>
      </c>
      <c r="AP5" s="18">
        <f t="shared" si="30"/>
        <v>8.1234749999999991</v>
      </c>
      <c r="AQ5" s="18">
        <f t="shared" si="31"/>
        <v>2.9868649999999999</v>
      </c>
      <c r="AR5" s="18">
        <f t="shared" si="32"/>
        <v>62.839647999999997</v>
      </c>
      <c r="AS5" s="2">
        <f t="shared" si="33"/>
        <v>22.95</v>
      </c>
      <c r="AT5" s="5">
        <f t="shared" si="34"/>
        <v>4</v>
      </c>
      <c r="AV5" s="7" t="s">
        <v>16</v>
      </c>
      <c r="AW5" s="2">
        <f t="shared" si="35"/>
        <v>15</v>
      </c>
      <c r="AX5" s="18">
        <f t="shared" si="36"/>
        <v>1.1953879999999999</v>
      </c>
      <c r="AY5" s="18">
        <f t="shared" si="37"/>
        <v>8.1234749999999991</v>
      </c>
      <c r="AZ5" s="18">
        <f t="shared" si="38"/>
        <v>2.9868649999999999</v>
      </c>
      <c r="BA5" s="18">
        <f t="shared" si="39"/>
        <v>62.839647999999997</v>
      </c>
      <c r="BB5" s="2">
        <f t="shared" si="40"/>
        <v>22.95</v>
      </c>
      <c r="BC5" s="5">
        <f t="shared" si="41"/>
        <v>4</v>
      </c>
    </row>
    <row r="6" spans="3:55" x14ac:dyDescent="0.3">
      <c r="C6" s="2" t="s">
        <v>10</v>
      </c>
      <c r="D6" s="2">
        <f t="shared" si="0"/>
        <v>15</v>
      </c>
      <c r="E6" s="18">
        <f t="shared" si="1"/>
        <v>1.1953879999999999</v>
      </c>
      <c r="F6" s="18">
        <f t="shared" si="2"/>
        <v>8.1234749999999991</v>
      </c>
      <c r="G6" s="18">
        <f t="shared" si="3"/>
        <v>2.9868649999999999</v>
      </c>
      <c r="H6" s="18">
        <f t="shared" si="4"/>
        <v>62.839647999999997</v>
      </c>
      <c r="I6" s="2">
        <f t="shared" si="5"/>
        <v>22.95</v>
      </c>
      <c r="J6" s="2">
        <f t="shared" si="6"/>
        <v>4</v>
      </c>
      <c r="L6" s="7" t="s">
        <v>14</v>
      </c>
      <c r="M6" s="2">
        <f t="shared" si="7"/>
        <v>15</v>
      </c>
      <c r="N6" s="18">
        <f t="shared" si="8"/>
        <v>1.1953879999999999</v>
      </c>
      <c r="O6" s="18">
        <f t="shared" si="9"/>
        <v>8.1234749999999991</v>
      </c>
      <c r="P6" s="18">
        <f t="shared" si="10"/>
        <v>2.9868649999999999</v>
      </c>
      <c r="Q6" s="18">
        <f t="shared" si="11"/>
        <v>62.839647999999997</v>
      </c>
      <c r="R6" s="2">
        <f t="shared" si="12"/>
        <v>22.95</v>
      </c>
      <c r="S6" s="5">
        <f t="shared" si="13"/>
        <v>4</v>
      </c>
      <c r="U6" s="7" t="s">
        <v>14</v>
      </c>
      <c r="V6" s="2">
        <f t="shared" si="14"/>
        <v>15</v>
      </c>
      <c r="W6" s="18">
        <f t="shared" si="15"/>
        <v>1.1953879999999999</v>
      </c>
      <c r="X6" s="18">
        <f t="shared" si="16"/>
        <v>8.1234749999999991</v>
      </c>
      <c r="Y6" s="18">
        <f t="shared" si="17"/>
        <v>2.9868649999999999</v>
      </c>
      <c r="Z6" s="18">
        <f t="shared" si="18"/>
        <v>62.839647999999997</v>
      </c>
      <c r="AA6" s="2">
        <f t="shared" si="19"/>
        <v>22.95</v>
      </c>
      <c r="AB6" s="5">
        <f t="shared" si="20"/>
        <v>4</v>
      </c>
      <c r="AD6" s="7" t="s">
        <v>14</v>
      </c>
      <c r="AE6" s="2">
        <f t="shared" si="21"/>
        <v>15</v>
      </c>
      <c r="AF6" s="18">
        <f t="shared" si="22"/>
        <v>1.1953879999999999</v>
      </c>
      <c r="AG6" s="18">
        <f t="shared" si="23"/>
        <v>8.1234749999999991</v>
      </c>
      <c r="AH6" s="18">
        <f t="shared" si="24"/>
        <v>2.9868649999999999</v>
      </c>
      <c r="AI6" s="18">
        <f t="shared" si="25"/>
        <v>62.839647999999997</v>
      </c>
      <c r="AJ6" s="2">
        <f t="shared" si="26"/>
        <v>22.95</v>
      </c>
      <c r="AK6" s="5">
        <f t="shared" si="27"/>
        <v>4</v>
      </c>
      <c r="AM6" s="7" t="s">
        <v>14</v>
      </c>
      <c r="AN6" s="2">
        <f t="shared" si="28"/>
        <v>15</v>
      </c>
      <c r="AO6" s="18">
        <f t="shared" si="29"/>
        <v>1.1953879999999999</v>
      </c>
      <c r="AP6" s="18">
        <f t="shared" si="30"/>
        <v>8.1234749999999991</v>
      </c>
      <c r="AQ6" s="18">
        <f t="shared" si="31"/>
        <v>2.9868649999999999</v>
      </c>
      <c r="AR6" s="18">
        <f t="shared" si="32"/>
        <v>62.839647999999997</v>
      </c>
      <c r="AS6" s="2">
        <f t="shared" si="33"/>
        <v>22.95</v>
      </c>
      <c r="AT6" s="5">
        <f t="shared" si="34"/>
        <v>4</v>
      </c>
      <c r="AV6" s="7" t="s">
        <v>14</v>
      </c>
      <c r="AW6" s="2">
        <f t="shared" si="35"/>
        <v>15</v>
      </c>
      <c r="AX6" s="18">
        <f t="shared" si="36"/>
        <v>1.1953879999999999</v>
      </c>
      <c r="AY6" s="18">
        <f t="shared" si="37"/>
        <v>8.1234749999999991</v>
      </c>
      <c r="AZ6" s="18">
        <f t="shared" si="38"/>
        <v>2.9868649999999999</v>
      </c>
      <c r="BA6" s="18">
        <f t="shared" si="39"/>
        <v>62.839647999999997</v>
      </c>
      <c r="BB6" s="2">
        <f t="shared" si="40"/>
        <v>22.95</v>
      </c>
      <c r="BC6" s="5">
        <f t="shared" si="41"/>
        <v>4</v>
      </c>
    </row>
    <row r="7" spans="3:55" x14ac:dyDescent="0.3">
      <c r="C7" s="2" t="s">
        <v>11</v>
      </c>
      <c r="D7" s="2">
        <f t="shared" si="0"/>
        <v>15</v>
      </c>
      <c r="E7" s="18">
        <f t="shared" si="1"/>
        <v>1.1953879999999999</v>
      </c>
      <c r="F7" s="18">
        <f t="shared" si="2"/>
        <v>8.1234749999999991</v>
      </c>
      <c r="G7" s="18">
        <f t="shared" si="3"/>
        <v>2.9868649999999999</v>
      </c>
      <c r="H7" s="18">
        <f t="shared" si="4"/>
        <v>62.839647999999997</v>
      </c>
      <c r="I7" s="2">
        <f t="shared" si="5"/>
        <v>22.95</v>
      </c>
      <c r="J7" s="2">
        <f t="shared" si="6"/>
        <v>4</v>
      </c>
      <c r="L7" s="7" t="s">
        <v>15</v>
      </c>
      <c r="M7" s="2">
        <f t="shared" si="7"/>
        <v>15</v>
      </c>
      <c r="N7" s="18">
        <f t="shared" si="8"/>
        <v>1.1953879999999999</v>
      </c>
      <c r="O7" s="18">
        <f t="shared" si="9"/>
        <v>8.1234749999999991</v>
      </c>
      <c r="P7" s="18">
        <f t="shared" si="10"/>
        <v>2.9868649999999999</v>
      </c>
      <c r="Q7" s="18">
        <f t="shared" si="11"/>
        <v>62.839647999999997</v>
      </c>
      <c r="R7" s="2">
        <f t="shared" si="12"/>
        <v>22.95</v>
      </c>
      <c r="S7" s="5">
        <f t="shared" si="13"/>
        <v>4</v>
      </c>
      <c r="U7" s="7" t="s">
        <v>15</v>
      </c>
      <c r="V7" s="2">
        <f t="shared" si="14"/>
        <v>15</v>
      </c>
      <c r="W7" s="18">
        <f t="shared" si="15"/>
        <v>1.1953879999999999</v>
      </c>
      <c r="X7" s="18">
        <f t="shared" si="16"/>
        <v>8.1234749999999991</v>
      </c>
      <c r="Y7" s="18">
        <f t="shared" si="17"/>
        <v>2.9868649999999999</v>
      </c>
      <c r="Z7" s="18">
        <f t="shared" si="18"/>
        <v>62.839647999999997</v>
      </c>
      <c r="AA7" s="2">
        <f t="shared" si="19"/>
        <v>22.95</v>
      </c>
      <c r="AB7" s="5">
        <f t="shared" si="20"/>
        <v>4</v>
      </c>
      <c r="AD7" s="7" t="s">
        <v>15</v>
      </c>
      <c r="AE7" s="2">
        <f t="shared" si="21"/>
        <v>15</v>
      </c>
      <c r="AF7" s="18">
        <f t="shared" si="22"/>
        <v>1.1953879999999999</v>
      </c>
      <c r="AG7" s="18">
        <f t="shared" si="23"/>
        <v>8.1234749999999991</v>
      </c>
      <c r="AH7" s="18">
        <f t="shared" si="24"/>
        <v>2.9868649999999999</v>
      </c>
      <c r="AI7" s="18">
        <f t="shared" si="25"/>
        <v>62.839647999999997</v>
      </c>
      <c r="AJ7" s="2">
        <f t="shared" si="26"/>
        <v>22.95</v>
      </c>
      <c r="AK7" s="5">
        <f t="shared" si="27"/>
        <v>4</v>
      </c>
      <c r="AM7" s="7" t="s">
        <v>15</v>
      </c>
      <c r="AN7" s="2">
        <f t="shared" si="28"/>
        <v>15</v>
      </c>
      <c r="AO7" s="18">
        <f t="shared" si="29"/>
        <v>1.1953879999999999</v>
      </c>
      <c r="AP7" s="18">
        <f t="shared" si="30"/>
        <v>8.1234749999999991</v>
      </c>
      <c r="AQ7" s="18">
        <f t="shared" si="31"/>
        <v>2.9868649999999999</v>
      </c>
      <c r="AR7" s="18">
        <f t="shared" si="32"/>
        <v>62.839647999999997</v>
      </c>
      <c r="AS7" s="2">
        <f t="shared" si="33"/>
        <v>22.95</v>
      </c>
      <c r="AT7" s="5">
        <f t="shared" si="34"/>
        <v>4</v>
      </c>
      <c r="AV7" s="7" t="s">
        <v>15</v>
      </c>
      <c r="AW7" s="2">
        <f t="shared" si="35"/>
        <v>15</v>
      </c>
      <c r="AX7" s="18">
        <f t="shared" si="36"/>
        <v>1.1953879999999999</v>
      </c>
      <c r="AY7" s="18">
        <f t="shared" si="37"/>
        <v>8.1234749999999991</v>
      </c>
      <c r="AZ7" s="18">
        <f t="shared" si="38"/>
        <v>2.9868649999999999</v>
      </c>
      <c r="BA7" s="18">
        <f t="shared" si="39"/>
        <v>62.839647999999997</v>
      </c>
      <c r="BB7" s="2">
        <f t="shared" si="40"/>
        <v>22.95</v>
      </c>
      <c r="BC7" s="5">
        <f t="shared" si="41"/>
        <v>4</v>
      </c>
    </row>
    <row r="8" spans="3:55" x14ac:dyDescent="0.3">
      <c r="C8" s="2" t="s">
        <v>12</v>
      </c>
      <c r="D8" s="2">
        <f t="shared" si="0"/>
        <v>15</v>
      </c>
      <c r="E8" s="18">
        <f t="shared" si="1"/>
        <v>1.1953879999999999</v>
      </c>
      <c r="F8" s="18">
        <f t="shared" si="2"/>
        <v>8.1234749999999991</v>
      </c>
      <c r="G8" s="18">
        <f t="shared" si="3"/>
        <v>2.9868649999999999</v>
      </c>
      <c r="H8" s="18">
        <f t="shared" si="4"/>
        <v>62.839647999999997</v>
      </c>
      <c r="I8" s="2">
        <f t="shared" si="5"/>
        <v>22.95</v>
      </c>
      <c r="J8" s="2">
        <f t="shared" si="6"/>
        <v>4</v>
      </c>
      <c r="L8" s="7" t="s">
        <v>14</v>
      </c>
      <c r="M8" s="2">
        <f t="shared" si="7"/>
        <v>15</v>
      </c>
      <c r="N8" s="18">
        <f t="shared" si="8"/>
        <v>1.1953879999999999</v>
      </c>
      <c r="O8" s="18">
        <f t="shared" si="9"/>
        <v>8.1234749999999991</v>
      </c>
      <c r="P8" s="18">
        <f t="shared" si="10"/>
        <v>2.9868649999999999</v>
      </c>
      <c r="Q8" s="18">
        <f t="shared" si="11"/>
        <v>62.839647999999997</v>
      </c>
      <c r="R8" s="2">
        <f t="shared" si="12"/>
        <v>22.95</v>
      </c>
      <c r="S8" s="5">
        <f t="shared" si="13"/>
        <v>4</v>
      </c>
      <c r="U8" s="7" t="s">
        <v>14</v>
      </c>
      <c r="V8" s="2">
        <f t="shared" si="14"/>
        <v>15</v>
      </c>
      <c r="W8" s="18">
        <f t="shared" si="15"/>
        <v>1.1953879999999999</v>
      </c>
      <c r="X8" s="18">
        <f t="shared" si="16"/>
        <v>8.1234749999999991</v>
      </c>
      <c r="Y8" s="18">
        <f t="shared" si="17"/>
        <v>2.9868649999999999</v>
      </c>
      <c r="Z8" s="18">
        <f t="shared" si="18"/>
        <v>62.839647999999997</v>
      </c>
      <c r="AA8" s="2">
        <f t="shared" si="19"/>
        <v>22.95</v>
      </c>
      <c r="AB8" s="5">
        <f t="shared" si="20"/>
        <v>4</v>
      </c>
      <c r="AD8" s="7" t="s">
        <v>14</v>
      </c>
      <c r="AE8" s="2">
        <f t="shared" si="21"/>
        <v>15</v>
      </c>
      <c r="AF8" s="18">
        <f t="shared" si="22"/>
        <v>1.1953879999999999</v>
      </c>
      <c r="AG8" s="18">
        <f t="shared" si="23"/>
        <v>8.1234749999999991</v>
      </c>
      <c r="AH8" s="18">
        <f t="shared" si="24"/>
        <v>2.9868649999999999</v>
      </c>
      <c r="AI8" s="18">
        <f t="shared" si="25"/>
        <v>62.839647999999997</v>
      </c>
      <c r="AJ8" s="2">
        <f t="shared" si="26"/>
        <v>22.95</v>
      </c>
      <c r="AK8" s="5">
        <f t="shared" si="27"/>
        <v>4</v>
      </c>
      <c r="AM8" s="7" t="s">
        <v>14</v>
      </c>
      <c r="AN8" s="2">
        <f t="shared" si="28"/>
        <v>15</v>
      </c>
      <c r="AO8" s="18">
        <f t="shared" si="29"/>
        <v>1.1953879999999999</v>
      </c>
      <c r="AP8" s="18">
        <f t="shared" si="30"/>
        <v>8.1234749999999991</v>
      </c>
      <c r="AQ8" s="18">
        <f t="shared" si="31"/>
        <v>2.9868649999999999</v>
      </c>
      <c r="AR8" s="18">
        <f t="shared" si="32"/>
        <v>62.839647999999997</v>
      </c>
      <c r="AS8" s="2">
        <f t="shared" si="33"/>
        <v>22.95</v>
      </c>
      <c r="AT8" s="5">
        <f t="shared" si="34"/>
        <v>4</v>
      </c>
      <c r="AV8" s="7" t="s">
        <v>14</v>
      </c>
      <c r="AW8" s="2">
        <f t="shared" si="35"/>
        <v>15</v>
      </c>
      <c r="AX8" s="18">
        <f t="shared" si="36"/>
        <v>1.1953879999999999</v>
      </c>
      <c r="AY8" s="18">
        <f t="shared" si="37"/>
        <v>8.1234749999999991</v>
      </c>
      <c r="AZ8" s="18">
        <f t="shared" si="38"/>
        <v>2.9868649999999999</v>
      </c>
      <c r="BA8" s="18">
        <f t="shared" si="39"/>
        <v>62.839647999999997</v>
      </c>
      <c r="BB8" s="2">
        <f t="shared" si="40"/>
        <v>22.95</v>
      </c>
      <c r="BC8" s="5">
        <f t="shared" si="41"/>
        <v>4</v>
      </c>
    </row>
    <row r="9" spans="3:55" x14ac:dyDescent="0.3">
      <c r="C9" s="2" t="s">
        <v>13</v>
      </c>
      <c r="D9" s="2">
        <f t="shared" si="0"/>
        <v>15</v>
      </c>
      <c r="E9" s="18">
        <f t="shared" si="1"/>
        <v>1.1953879999999999</v>
      </c>
      <c r="F9" s="18">
        <f t="shared" si="2"/>
        <v>8.1234749999999991</v>
      </c>
      <c r="G9" s="18">
        <f t="shared" si="3"/>
        <v>2.9868649999999999</v>
      </c>
      <c r="H9" s="18">
        <f t="shared" si="4"/>
        <v>62.839647999999997</v>
      </c>
      <c r="I9" s="2">
        <f t="shared" si="5"/>
        <v>22.95</v>
      </c>
      <c r="J9" s="2">
        <f t="shared" si="6"/>
        <v>4</v>
      </c>
      <c r="L9" s="7" t="s">
        <v>16</v>
      </c>
      <c r="M9" s="2">
        <f t="shared" si="7"/>
        <v>15</v>
      </c>
      <c r="N9" s="18">
        <f t="shared" si="8"/>
        <v>1.1953879999999999</v>
      </c>
      <c r="O9" s="18">
        <f t="shared" si="9"/>
        <v>8.1234749999999991</v>
      </c>
      <c r="P9" s="18">
        <f t="shared" si="10"/>
        <v>2.9868649999999999</v>
      </c>
      <c r="Q9" s="18">
        <f t="shared" si="11"/>
        <v>62.839647999999997</v>
      </c>
      <c r="R9" s="2">
        <f t="shared" si="12"/>
        <v>22.95</v>
      </c>
      <c r="S9" s="5">
        <f t="shared" si="13"/>
        <v>4</v>
      </c>
      <c r="U9" s="7" t="s">
        <v>16</v>
      </c>
      <c r="V9" s="2">
        <f t="shared" si="14"/>
        <v>15</v>
      </c>
      <c r="W9" s="18">
        <f t="shared" si="15"/>
        <v>1.1953879999999999</v>
      </c>
      <c r="X9" s="18">
        <f t="shared" si="16"/>
        <v>8.1234749999999991</v>
      </c>
      <c r="Y9" s="18">
        <f t="shared" si="17"/>
        <v>2.9868649999999999</v>
      </c>
      <c r="Z9" s="18">
        <f t="shared" si="18"/>
        <v>62.839647999999997</v>
      </c>
      <c r="AA9" s="2">
        <f t="shared" si="19"/>
        <v>22.95</v>
      </c>
      <c r="AB9" s="5">
        <f t="shared" si="20"/>
        <v>4</v>
      </c>
      <c r="AD9" s="7" t="s">
        <v>16</v>
      </c>
      <c r="AE9" s="2">
        <f t="shared" si="21"/>
        <v>15</v>
      </c>
      <c r="AF9" s="18">
        <f t="shared" si="22"/>
        <v>1.1953879999999999</v>
      </c>
      <c r="AG9" s="18">
        <f t="shared" si="23"/>
        <v>8.1234749999999991</v>
      </c>
      <c r="AH9" s="18">
        <f t="shared" si="24"/>
        <v>2.9868649999999999</v>
      </c>
      <c r="AI9" s="18">
        <f t="shared" si="25"/>
        <v>62.839647999999997</v>
      </c>
      <c r="AJ9" s="2">
        <f t="shared" si="26"/>
        <v>22.95</v>
      </c>
      <c r="AK9" s="5">
        <f t="shared" si="27"/>
        <v>4</v>
      </c>
      <c r="AM9" s="7" t="s">
        <v>16</v>
      </c>
      <c r="AN9" s="2">
        <f t="shared" si="28"/>
        <v>15</v>
      </c>
      <c r="AO9" s="18">
        <f t="shared" si="29"/>
        <v>1.1953879999999999</v>
      </c>
      <c r="AP9" s="18">
        <f t="shared" si="30"/>
        <v>8.1234749999999991</v>
      </c>
      <c r="AQ9" s="18">
        <f t="shared" si="31"/>
        <v>2.9868649999999999</v>
      </c>
      <c r="AR9" s="18">
        <f t="shared" si="32"/>
        <v>62.839647999999997</v>
      </c>
      <c r="AS9" s="2">
        <f t="shared" si="33"/>
        <v>22.95</v>
      </c>
      <c r="AT9" s="5">
        <f t="shared" si="34"/>
        <v>4</v>
      </c>
      <c r="AV9" s="7" t="s">
        <v>16</v>
      </c>
      <c r="AW9" s="2">
        <f t="shared" si="35"/>
        <v>15</v>
      </c>
      <c r="AX9" s="18">
        <f t="shared" si="36"/>
        <v>1.1953879999999999</v>
      </c>
      <c r="AY9" s="18">
        <f t="shared" si="37"/>
        <v>8.1234749999999991</v>
      </c>
      <c r="AZ9" s="18">
        <f t="shared" si="38"/>
        <v>2.9868649999999999</v>
      </c>
      <c r="BA9" s="18">
        <f t="shared" si="39"/>
        <v>62.839647999999997</v>
      </c>
      <c r="BB9" s="2">
        <f t="shared" si="40"/>
        <v>22.95</v>
      </c>
      <c r="BC9" s="5">
        <f t="shared" si="41"/>
        <v>4</v>
      </c>
    </row>
    <row r="10" spans="3:55" x14ac:dyDescent="0.3">
      <c r="C10" s="2" t="s">
        <v>14</v>
      </c>
      <c r="D10" s="2">
        <f t="shared" si="0"/>
        <v>15</v>
      </c>
      <c r="E10" s="18">
        <f t="shared" si="1"/>
        <v>1.1953879999999999</v>
      </c>
      <c r="F10" s="18">
        <f t="shared" si="2"/>
        <v>8.1234749999999991</v>
      </c>
      <c r="G10" s="18">
        <f t="shared" si="3"/>
        <v>2.9868649999999999</v>
      </c>
      <c r="H10" s="18">
        <f t="shared" si="4"/>
        <v>62.839647999999997</v>
      </c>
      <c r="I10" s="2">
        <f t="shared" si="5"/>
        <v>22.95</v>
      </c>
      <c r="J10" s="2">
        <f t="shared" si="6"/>
        <v>4</v>
      </c>
      <c r="L10" s="7" t="s">
        <v>14</v>
      </c>
      <c r="M10" s="2">
        <f t="shared" si="7"/>
        <v>15</v>
      </c>
      <c r="N10" s="18">
        <f t="shared" si="8"/>
        <v>1.1953879999999999</v>
      </c>
      <c r="O10" s="18">
        <f t="shared" si="9"/>
        <v>8.1234749999999991</v>
      </c>
      <c r="P10" s="18">
        <f t="shared" si="10"/>
        <v>2.9868649999999999</v>
      </c>
      <c r="Q10" s="18">
        <f t="shared" si="11"/>
        <v>62.839647999999997</v>
      </c>
      <c r="R10" s="2">
        <f t="shared" si="12"/>
        <v>22.95</v>
      </c>
      <c r="S10" s="5">
        <f t="shared" si="13"/>
        <v>4</v>
      </c>
      <c r="U10" s="7" t="s">
        <v>14</v>
      </c>
      <c r="V10" s="2">
        <f t="shared" si="14"/>
        <v>15</v>
      </c>
      <c r="W10" s="18">
        <f t="shared" si="15"/>
        <v>1.1953879999999999</v>
      </c>
      <c r="X10" s="18">
        <f t="shared" si="16"/>
        <v>8.1234749999999991</v>
      </c>
      <c r="Y10" s="18">
        <f t="shared" si="17"/>
        <v>2.9868649999999999</v>
      </c>
      <c r="Z10" s="18">
        <f t="shared" si="18"/>
        <v>62.839647999999997</v>
      </c>
      <c r="AA10" s="2">
        <f t="shared" si="19"/>
        <v>22.95</v>
      </c>
      <c r="AB10" s="5">
        <f t="shared" si="20"/>
        <v>4</v>
      </c>
      <c r="AD10" s="7" t="s">
        <v>14</v>
      </c>
      <c r="AE10" s="2">
        <f t="shared" si="21"/>
        <v>15</v>
      </c>
      <c r="AF10" s="18">
        <f t="shared" si="22"/>
        <v>1.1953879999999999</v>
      </c>
      <c r="AG10" s="18">
        <f t="shared" si="23"/>
        <v>8.1234749999999991</v>
      </c>
      <c r="AH10" s="18">
        <f t="shared" si="24"/>
        <v>2.9868649999999999</v>
      </c>
      <c r="AI10" s="18">
        <f t="shared" si="25"/>
        <v>62.839647999999997</v>
      </c>
      <c r="AJ10" s="2">
        <f t="shared" si="26"/>
        <v>22.95</v>
      </c>
      <c r="AK10" s="5">
        <f t="shared" si="27"/>
        <v>4</v>
      </c>
      <c r="AM10" s="7" t="s">
        <v>14</v>
      </c>
      <c r="AN10" s="2">
        <f t="shared" si="28"/>
        <v>15</v>
      </c>
      <c r="AO10" s="18">
        <f t="shared" si="29"/>
        <v>1.1953879999999999</v>
      </c>
      <c r="AP10" s="18">
        <f t="shared" si="30"/>
        <v>8.1234749999999991</v>
      </c>
      <c r="AQ10" s="18">
        <f t="shared" si="31"/>
        <v>2.9868649999999999</v>
      </c>
      <c r="AR10" s="18">
        <f t="shared" si="32"/>
        <v>62.839647999999997</v>
      </c>
      <c r="AS10" s="2">
        <f t="shared" si="33"/>
        <v>22.95</v>
      </c>
      <c r="AT10" s="5">
        <f t="shared" si="34"/>
        <v>4</v>
      </c>
      <c r="AV10" s="7" t="s">
        <v>14</v>
      </c>
      <c r="AW10" s="2">
        <f t="shared" si="35"/>
        <v>15</v>
      </c>
      <c r="AX10" s="18">
        <f t="shared" si="36"/>
        <v>1.1953879999999999</v>
      </c>
      <c r="AY10" s="18">
        <f t="shared" si="37"/>
        <v>8.1234749999999991</v>
      </c>
      <c r="AZ10" s="18">
        <f t="shared" si="38"/>
        <v>2.9868649999999999</v>
      </c>
      <c r="BA10" s="18">
        <f t="shared" si="39"/>
        <v>62.839647999999997</v>
      </c>
      <c r="BB10" s="2">
        <f t="shared" si="40"/>
        <v>22.95</v>
      </c>
      <c r="BC10" s="5">
        <f t="shared" si="41"/>
        <v>4</v>
      </c>
    </row>
    <row r="11" spans="3:55" x14ac:dyDescent="0.3">
      <c r="C11" s="2" t="s">
        <v>15</v>
      </c>
      <c r="D11" s="2">
        <f t="shared" si="0"/>
        <v>15</v>
      </c>
      <c r="E11" s="18">
        <f t="shared" si="1"/>
        <v>1.1953879999999999</v>
      </c>
      <c r="F11" s="18">
        <f t="shared" si="2"/>
        <v>8.1234749999999991</v>
      </c>
      <c r="G11" s="18">
        <f t="shared" si="3"/>
        <v>2.9868649999999999</v>
      </c>
      <c r="H11" s="18">
        <f t="shared" si="4"/>
        <v>62.839647999999997</v>
      </c>
      <c r="I11" s="2">
        <f t="shared" si="5"/>
        <v>22.95</v>
      </c>
      <c r="J11" s="2">
        <f t="shared" si="6"/>
        <v>4</v>
      </c>
      <c r="L11" s="7" t="s">
        <v>15</v>
      </c>
      <c r="M11" s="2">
        <f t="shared" si="7"/>
        <v>15</v>
      </c>
      <c r="N11" s="18">
        <f t="shared" si="8"/>
        <v>1.1953879999999999</v>
      </c>
      <c r="O11" s="18">
        <f t="shared" si="9"/>
        <v>8.1234749999999991</v>
      </c>
      <c r="P11" s="18">
        <f t="shared" si="10"/>
        <v>2.9868649999999999</v>
      </c>
      <c r="Q11" s="18">
        <f t="shared" si="11"/>
        <v>62.839647999999997</v>
      </c>
      <c r="R11" s="2">
        <f t="shared" si="12"/>
        <v>22.95</v>
      </c>
      <c r="S11" s="5">
        <f t="shared" si="13"/>
        <v>4</v>
      </c>
      <c r="U11" s="7" t="s">
        <v>15</v>
      </c>
      <c r="V11" s="2">
        <f t="shared" si="14"/>
        <v>15</v>
      </c>
      <c r="W11" s="18">
        <f t="shared" si="15"/>
        <v>1.1953879999999999</v>
      </c>
      <c r="X11" s="18">
        <f t="shared" si="16"/>
        <v>8.1234749999999991</v>
      </c>
      <c r="Y11" s="18">
        <f t="shared" si="17"/>
        <v>2.9868649999999999</v>
      </c>
      <c r="Z11" s="18">
        <f t="shared" si="18"/>
        <v>62.839647999999997</v>
      </c>
      <c r="AA11" s="2">
        <f t="shared" si="19"/>
        <v>22.95</v>
      </c>
      <c r="AB11" s="5">
        <f t="shared" si="20"/>
        <v>4</v>
      </c>
      <c r="AD11" s="7" t="s">
        <v>15</v>
      </c>
      <c r="AE11" s="2">
        <f t="shared" si="21"/>
        <v>15</v>
      </c>
      <c r="AF11" s="18">
        <f t="shared" si="22"/>
        <v>1.1953879999999999</v>
      </c>
      <c r="AG11" s="18">
        <f t="shared" si="23"/>
        <v>8.1234749999999991</v>
      </c>
      <c r="AH11" s="18">
        <f t="shared" si="24"/>
        <v>2.9868649999999999</v>
      </c>
      <c r="AI11" s="18">
        <f t="shared" si="25"/>
        <v>62.839647999999997</v>
      </c>
      <c r="AJ11" s="2">
        <f t="shared" si="26"/>
        <v>22.95</v>
      </c>
      <c r="AK11" s="5">
        <f t="shared" si="27"/>
        <v>4</v>
      </c>
      <c r="AM11" s="7" t="s">
        <v>15</v>
      </c>
      <c r="AN11" s="2">
        <f t="shared" si="28"/>
        <v>15</v>
      </c>
      <c r="AO11" s="18">
        <f t="shared" si="29"/>
        <v>1.1953879999999999</v>
      </c>
      <c r="AP11" s="18">
        <f t="shared" si="30"/>
        <v>8.1234749999999991</v>
      </c>
      <c r="AQ11" s="18">
        <f t="shared" si="31"/>
        <v>2.9868649999999999</v>
      </c>
      <c r="AR11" s="18">
        <f t="shared" si="32"/>
        <v>62.839647999999997</v>
      </c>
      <c r="AS11" s="2">
        <f t="shared" si="33"/>
        <v>22.95</v>
      </c>
      <c r="AT11" s="5">
        <f t="shared" si="34"/>
        <v>4</v>
      </c>
      <c r="AV11" s="7" t="s">
        <v>15</v>
      </c>
      <c r="AW11" s="2">
        <f t="shared" si="35"/>
        <v>15</v>
      </c>
      <c r="AX11" s="18">
        <f t="shared" si="36"/>
        <v>1.1953879999999999</v>
      </c>
      <c r="AY11" s="18">
        <f t="shared" si="37"/>
        <v>8.1234749999999991</v>
      </c>
      <c r="AZ11" s="18">
        <f t="shared" si="38"/>
        <v>2.9868649999999999</v>
      </c>
      <c r="BA11" s="18">
        <f t="shared" si="39"/>
        <v>62.839647999999997</v>
      </c>
      <c r="BB11" s="2">
        <f t="shared" si="40"/>
        <v>22.95</v>
      </c>
      <c r="BC11" s="5">
        <f t="shared" si="41"/>
        <v>4</v>
      </c>
    </row>
    <row r="12" spans="3:55" x14ac:dyDescent="0.3">
      <c r="C12" s="2" t="s">
        <v>14</v>
      </c>
      <c r="D12" s="2">
        <f t="shared" si="0"/>
        <v>15</v>
      </c>
      <c r="E12" s="18">
        <f t="shared" si="1"/>
        <v>1.1953879999999999</v>
      </c>
      <c r="F12" s="18">
        <f t="shared" si="2"/>
        <v>8.1234749999999991</v>
      </c>
      <c r="G12" s="18">
        <f t="shared" si="3"/>
        <v>2.9868649999999999</v>
      </c>
      <c r="H12" s="18">
        <f t="shared" si="4"/>
        <v>62.839647999999997</v>
      </c>
      <c r="I12" s="2">
        <f t="shared" si="5"/>
        <v>22.95</v>
      </c>
      <c r="J12" s="2">
        <f t="shared" si="6"/>
        <v>4</v>
      </c>
      <c r="L12" s="7" t="s">
        <v>14</v>
      </c>
      <c r="M12" s="2">
        <f t="shared" si="7"/>
        <v>15</v>
      </c>
      <c r="N12" s="18">
        <f t="shared" si="8"/>
        <v>1.1953879999999999</v>
      </c>
      <c r="O12" s="18">
        <f t="shared" si="9"/>
        <v>8.1234749999999991</v>
      </c>
      <c r="P12" s="18">
        <f t="shared" si="10"/>
        <v>2.9868649999999999</v>
      </c>
      <c r="Q12" s="18">
        <f t="shared" si="11"/>
        <v>62.839647999999997</v>
      </c>
      <c r="R12" s="2">
        <f t="shared" si="12"/>
        <v>22.95</v>
      </c>
      <c r="S12" s="5">
        <f t="shared" si="13"/>
        <v>4</v>
      </c>
      <c r="U12" s="7" t="s">
        <v>14</v>
      </c>
      <c r="V12" s="2">
        <f t="shared" si="14"/>
        <v>15</v>
      </c>
      <c r="W12" s="18">
        <f t="shared" si="15"/>
        <v>1.1953879999999999</v>
      </c>
      <c r="X12" s="18">
        <f t="shared" si="16"/>
        <v>8.1234749999999991</v>
      </c>
      <c r="Y12" s="18">
        <f t="shared" si="17"/>
        <v>2.9868649999999999</v>
      </c>
      <c r="Z12" s="18">
        <f t="shared" si="18"/>
        <v>62.839647999999997</v>
      </c>
      <c r="AA12" s="2">
        <f t="shared" si="19"/>
        <v>22.95</v>
      </c>
      <c r="AB12" s="5">
        <f t="shared" si="20"/>
        <v>4</v>
      </c>
      <c r="AD12" s="7" t="s">
        <v>14</v>
      </c>
      <c r="AE12" s="2">
        <f t="shared" si="21"/>
        <v>15</v>
      </c>
      <c r="AF12" s="18">
        <f t="shared" si="22"/>
        <v>1.1953879999999999</v>
      </c>
      <c r="AG12" s="18">
        <f t="shared" si="23"/>
        <v>8.1234749999999991</v>
      </c>
      <c r="AH12" s="18">
        <f t="shared" si="24"/>
        <v>2.9868649999999999</v>
      </c>
      <c r="AI12" s="18">
        <f t="shared" si="25"/>
        <v>62.839647999999997</v>
      </c>
      <c r="AJ12" s="2">
        <f t="shared" si="26"/>
        <v>22.95</v>
      </c>
      <c r="AK12" s="5">
        <f t="shared" si="27"/>
        <v>4</v>
      </c>
      <c r="AM12" s="7" t="s">
        <v>14</v>
      </c>
      <c r="AN12" s="2">
        <f t="shared" si="28"/>
        <v>15</v>
      </c>
      <c r="AO12" s="18">
        <f t="shared" si="29"/>
        <v>1.1953879999999999</v>
      </c>
      <c r="AP12" s="18">
        <f t="shared" si="30"/>
        <v>8.1234749999999991</v>
      </c>
      <c r="AQ12" s="18">
        <f t="shared" si="31"/>
        <v>2.9868649999999999</v>
      </c>
      <c r="AR12" s="18">
        <f t="shared" si="32"/>
        <v>62.839647999999997</v>
      </c>
      <c r="AS12" s="2">
        <f t="shared" si="33"/>
        <v>22.95</v>
      </c>
      <c r="AT12" s="5">
        <f t="shared" si="34"/>
        <v>4</v>
      </c>
      <c r="AV12" s="7" t="s">
        <v>14</v>
      </c>
      <c r="AW12" s="2">
        <f t="shared" si="35"/>
        <v>15</v>
      </c>
      <c r="AX12" s="18">
        <f t="shared" si="36"/>
        <v>1.1953879999999999</v>
      </c>
      <c r="AY12" s="18">
        <f t="shared" si="37"/>
        <v>8.1234749999999991</v>
      </c>
      <c r="AZ12" s="18">
        <f t="shared" si="38"/>
        <v>2.9868649999999999</v>
      </c>
      <c r="BA12" s="18">
        <f t="shared" si="39"/>
        <v>62.839647999999997</v>
      </c>
      <c r="BB12" s="2">
        <f t="shared" si="40"/>
        <v>22.95</v>
      </c>
      <c r="BC12" s="5">
        <f t="shared" si="41"/>
        <v>4</v>
      </c>
    </row>
    <row r="13" spans="3:55" x14ac:dyDescent="0.3">
      <c r="C13" s="2" t="s">
        <v>16</v>
      </c>
      <c r="D13" s="2">
        <f t="shared" si="0"/>
        <v>15</v>
      </c>
      <c r="E13" s="18">
        <f t="shared" si="1"/>
        <v>1.1953879999999999</v>
      </c>
      <c r="F13" s="18">
        <f t="shared" si="2"/>
        <v>8.1234749999999991</v>
      </c>
      <c r="G13" s="18">
        <f t="shared" si="3"/>
        <v>2.9868649999999999</v>
      </c>
      <c r="H13" s="18">
        <f t="shared" si="4"/>
        <v>62.839647999999997</v>
      </c>
      <c r="I13" s="2">
        <f t="shared" si="5"/>
        <v>22.95</v>
      </c>
      <c r="J13" s="2">
        <f t="shared" si="6"/>
        <v>4</v>
      </c>
      <c r="L13" s="7" t="s">
        <v>16</v>
      </c>
      <c r="M13" s="2">
        <f t="shared" si="7"/>
        <v>15</v>
      </c>
      <c r="N13" s="18">
        <f t="shared" si="8"/>
        <v>1.1953879999999999</v>
      </c>
      <c r="O13" s="18">
        <f t="shared" si="9"/>
        <v>8.1234749999999991</v>
      </c>
      <c r="P13" s="18">
        <f t="shared" si="10"/>
        <v>2.9868649999999999</v>
      </c>
      <c r="Q13" s="18">
        <f t="shared" si="11"/>
        <v>62.839647999999997</v>
      </c>
      <c r="R13" s="2">
        <f t="shared" si="12"/>
        <v>22.95</v>
      </c>
      <c r="S13" s="5">
        <f t="shared" si="13"/>
        <v>4</v>
      </c>
      <c r="U13" s="7" t="s">
        <v>16</v>
      </c>
      <c r="V13" s="2">
        <f t="shared" si="14"/>
        <v>15</v>
      </c>
      <c r="W13" s="18">
        <f t="shared" si="15"/>
        <v>1.1953879999999999</v>
      </c>
      <c r="X13" s="18">
        <f t="shared" si="16"/>
        <v>8.1234749999999991</v>
      </c>
      <c r="Y13" s="18">
        <f t="shared" si="17"/>
        <v>2.9868649999999999</v>
      </c>
      <c r="Z13" s="18">
        <f t="shared" si="18"/>
        <v>62.839647999999997</v>
      </c>
      <c r="AA13" s="2">
        <f t="shared" si="19"/>
        <v>22.95</v>
      </c>
      <c r="AB13" s="5">
        <f t="shared" si="20"/>
        <v>4</v>
      </c>
      <c r="AD13" s="7" t="s">
        <v>16</v>
      </c>
      <c r="AE13" s="2">
        <f t="shared" si="21"/>
        <v>15</v>
      </c>
      <c r="AF13" s="18">
        <f t="shared" si="22"/>
        <v>1.1953879999999999</v>
      </c>
      <c r="AG13" s="18">
        <f t="shared" si="23"/>
        <v>8.1234749999999991</v>
      </c>
      <c r="AH13" s="18">
        <f t="shared" si="24"/>
        <v>2.9868649999999999</v>
      </c>
      <c r="AI13" s="18">
        <f t="shared" si="25"/>
        <v>62.839647999999997</v>
      </c>
      <c r="AJ13" s="2">
        <f t="shared" si="26"/>
        <v>22.95</v>
      </c>
      <c r="AK13" s="5">
        <f t="shared" si="27"/>
        <v>4</v>
      </c>
      <c r="AM13" s="7" t="s">
        <v>16</v>
      </c>
      <c r="AN13" s="2">
        <f t="shared" si="28"/>
        <v>15</v>
      </c>
      <c r="AO13" s="18">
        <f t="shared" si="29"/>
        <v>1.1953879999999999</v>
      </c>
      <c r="AP13" s="18">
        <f t="shared" si="30"/>
        <v>8.1234749999999991</v>
      </c>
      <c r="AQ13" s="18">
        <f t="shared" si="31"/>
        <v>2.9868649999999999</v>
      </c>
      <c r="AR13" s="18">
        <f t="shared" si="32"/>
        <v>62.839647999999997</v>
      </c>
      <c r="AS13" s="2">
        <f t="shared" si="33"/>
        <v>22.95</v>
      </c>
      <c r="AT13" s="5">
        <f t="shared" si="34"/>
        <v>4</v>
      </c>
      <c r="AV13" s="7" t="s">
        <v>16</v>
      </c>
      <c r="AW13" s="2">
        <f t="shared" si="35"/>
        <v>15</v>
      </c>
      <c r="AX13" s="18">
        <f t="shared" si="36"/>
        <v>1.1953879999999999</v>
      </c>
      <c r="AY13" s="18">
        <f t="shared" si="37"/>
        <v>8.1234749999999991</v>
      </c>
      <c r="AZ13" s="18">
        <f t="shared" si="38"/>
        <v>2.9868649999999999</v>
      </c>
      <c r="BA13" s="18">
        <f t="shared" si="39"/>
        <v>62.839647999999997</v>
      </c>
      <c r="BB13" s="2">
        <f t="shared" si="40"/>
        <v>22.95</v>
      </c>
      <c r="BC13" s="5">
        <f t="shared" si="41"/>
        <v>4</v>
      </c>
    </row>
    <row r="14" spans="3:55" x14ac:dyDescent="0.3">
      <c r="C14" s="2" t="s">
        <v>14</v>
      </c>
      <c r="D14" s="2">
        <f t="shared" si="0"/>
        <v>15</v>
      </c>
      <c r="E14" s="18">
        <f t="shared" si="1"/>
        <v>1.1953879999999999</v>
      </c>
      <c r="F14" s="18">
        <f t="shared" si="2"/>
        <v>8.1234749999999991</v>
      </c>
      <c r="G14" s="18">
        <f t="shared" si="3"/>
        <v>2.9868649999999999</v>
      </c>
      <c r="H14" s="18">
        <f t="shared" si="4"/>
        <v>62.839647999999997</v>
      </c>
      <c r="I14" s="2">
        <f t="shared" si="5"/>
        <v>22.95</v>
      </c>
      <c r="J14" s="2">
        <f t="shared" si="6"/>
        <v>4</v>
      </c>
      <c r="L14" s="7" t="s">
        <v>14</v>
      </c>
      <c r="M14" s="2">
        <f t="shared" si="7"/>
        <v>15</v>
      </c>
      <c r="N14" s="18">
        <f t="shared" si="8"/>
        <v>1.1953879999999999</v>
      </c>
      <c r="O14" s="18">
        <f t="shared" si="9"/>
        <v>8.1234749999999991</v>
      </c>
      <c r="P14" s="18">
        <f t="shared" si="10"/>
        <v>2.9868649999999999</v>
      </c>
      <c r="Q14" s="18">
        <f t="shared" si="11"/>
        <v>62.839647999999997</v>
      </c>
      <c r="R14" s="2">
        <f t="shared" si="12"/>
        <v>22.95</v>
      </c>
      <c r="S14" s="5">
        <f t="shared" si="13"/>
        <v>4</v>
      </c>
      <c r="U14" s="7" t="s">
        <v>14</v>
      </c>
      <c r="V14" s="2">
        <f t="shared" si="14"/>
        <v>15</v>
      </c>
      <c r="W14" s="18">
        <f t="shared" si="15"/>
        <v>1.1953879999999999</v>
      </c>
      <c r="X14" s="18">
        <f t="shared" si="16"/>
        <v>8.1234749999999991</v>
      </c>
      <c r="Y14" s="18">
        <f t="shared" si="17"/>
        <v>2.9868649999999999</v>
      </c>
      <c r="Z14" s="18">
        <f t="shared" si="18"/>
        <v>62.839647999999997</v>
      </c>
      <c r="AA14" s="2">
        <f t="shared" si="19"/>
        <v>22.95</v>
      </c>
      <c r="AB14" s="5">
        <f t="shared" si="20"/>
        <v>4</v>
      </c>
      <c r="AD14" s="7" t="s">
        <v>14</v>
      </c>
      <c r="AE14" s="2">
        <f t="shared" si="21"/>
        <v>15</v>
      </c>
      <c r="AF14" s="18">
        <f t="shared" si="22"/>
        <v>1.1953879999999999</v>
      </c>
      <c r="AG14" s="18">
        <f t="shared" si="23"/>
        <v>8.1234749999999991</v>
      </c>
      <c r="AH14" s="18">
        <f t="shared" si="24"/>
        <v>2.9868649999999999</v>
      </c>
      <c r="AI14" s="18">
        <f t="shared" si="25"/>
        <v>62.839647999999997</v>
      </c>
      <c r="AJ14" s="2">
        <f t="shared" si="26"/>
        <v>22.95</v>
      </c>
      <c r="AK14" s="5">
        <f t="shared" si="27"/>
        <v>4</v>
      </c>
      <c r="AM14" s="7" t="s">
        <v>14</v>
      </c>
      <c r="AN14" s="2">
        <f t="shared" si="28"/>
        <v>15</v>
      </c>
      <c r="AO14" s="18">
        <f t="shared" si="29"/>
        <v>1.1953879999999999</v>
      </c>
      <c r="AP14" s="18">
        <f t="shared" si="30"/>
        <v>8.1234749999999991</v>
      </c>
      <c r="AQ14" s="18">
        <f t="shared" si="31"/>
        <v>2.9868649999999999</v>
      </c>
      <c r="AR14" s="18">
        <f t="shared" si="32"/>
        <v>62.839647999999997</v>
      </c>
      <c r="AS14" s="2">
        <f t="shared" si="33"/>
        <v>22.95</v>
      </c>
      <c r="AT14" s="5">
        <f t="shared" si="34"/>
        <v>4</v>
      </c>
      <c r="AV14" s="7" t="s">
        <v>14</v>
      </c>
      <c r="AW14" s="2">
        <f t="shared" si="35"/>
        <v>15</v>
      </c>
      <c r="AX14" s="18">
        <f t="shared" si="36"/>
        <v>1.1953879999999999</v>
      </c>
      <c r="AY14" s="18">
        <f t="shared" si="37"/>
        <v>8.1234749999999991</v>
      </c>
      <c r="AZ14" s="18">
        <f t="shared" si="38"/>
        <v>2.9868649999999999</v>
      </c>
      <c r="BA14" s="18">
        <f t="shared" si="39"/>
        <v>62.839647999999997</v>
      </c>
      <c r="BB14" s="2">
        <f t="shared" si="40"/>
        <v>22.95</v>
      </c>
      <c r="BC14" s="5">
        <f t="shared" si="41"/>
        <v>4</v>
      </c>
    </row>
    <row r="15" spans="3:55" x14ac:dyDescent="0.3">
      <c r="C15" s="2" t="s">
        <v>15</v>
      </c>
      <c r="D15" s="2">
        <f t="shared" si="0"/>
        <v>15</v>
      </c>
      <c r="E15" s="18">
        <f t="shared" si="1"/>
        <v>1.1953879999999999</v>
      </c>
      <c r="F15" s="18">
        <f t="shared" si="2"/>
        <v>8.1234749999999991</v>
      </c>
      <c r="G15" s="18">
        <f t="shared" si="3"/>
        <v>2.9868649999999999</v>
      </c>
      <c r="H15" s="18">
        <f t="shared" si="4"/>
        <v>62.839647999999997</v>
      </c>
      <c r="I15" s="2">
        <f t="shared" si="5"/>
        <v>22.95</v>
      </c>
      <c r="J15" s="2">
        <f t="shared" si="6"/>
        <v>4</v>
      </c>
      <c r="L15" s="7" t="s">
        <v>17</v>
      </c>
      <c r="M15" s="2">
        <f t="shared" si="7"/>
        <v>15</v>
      </c>
      <c r="N15" s="18">
        <f t="shared" si="8"/>
        <v>1.1953879999999999</v>
      </c>
      <c r="O15" s="18">
        <f t="shared" si="9"/>
        <v>8.1234749999999991</v>
      </c>
      <c r="P15" s="18">
        <f t="shared" si="10"/>
        <v>2.9868649999999999</v>
      </c>
      <c r="Q15" s="18">
        <f t="shared" si="11"/>
        <v>62.839647999999997</v>
      </c>
      <c r="R15" s="2">
        <f t="shared" si="12"/>
        <v>22.95</v>
      </c>
      <c r="S15" s="5">
        <f t="shared" si="13"/>
        <v>4</v>
      </c>
      <c r="U15" s="7" t="s">
        <v>17</v>
      </c>
      <c r="V15" s="2">
        <f t="shared" si="14"/>
        <v>15</v>
      </c>
      <c r="W15" s="18">
        <f t="shared" si="15"/>
        <v>1.1953879999999999</v>
      </c>
      <c r="X15" s="18">
        <f t="shared" si="16"/>
        <v>8.1234749999999991</v>
      </c>
      <c r="Y15" s="18">
        <f t="shared" si="17"/>
        <v>2.9868649999999999</v>
      </c>
      <c r="Z15" s="18">
        <f t="shared" si="18"/>
        <v>62.839647999999997</v>
      </c>
      <c r="AA15" s="2">
        <f t="shared" si="19"/>
        <v>22.95</v>
      </c>
      <c r="AB15" s="5">
        <f t="shared" si="20"/>
        <v>4</v>
      </c>
      <c r="AD15" s="7" t="s">
        <v>17</v>
      </c>
      <c r="AE15" s="2">
        <f t="shared" si="21"/>
        <v>15</v>
      </c>
      <c r="AF15" s="18">
        <f t="shared" si="22"/>
        <v>1.1953879999999999</v>
      </c>
      <c r="AG15" s="18">
        <f t="shared" si="23"/>
        <v>8.1234749999999991</v>
      </c>
      <c r="AH15" s="18">
        <f t="shared" si="24"/>
        <v>2.9868649999999999</v>
      </c>
      <c r="AI15" s="18">
        <f t="shared" si="25"/>
        <v>62.839647999999997</v>
      </c>
      <c r="AJ15" s="2">
        <f t="shared" si="26"/>
        <v>22.95</v>
      </c>
      <c r="AK15" s="5">
        <f t="shared" si="27"/>
        <v>4</v>
      </c>
      <c r="AM15" s="7" t="s">
        <v>17</v>
      </c>
      <c r="AN15" s="2">
        <f t="shared" si="28"/>
        <v>15</v>
      </c>
      <c r="AO15" s="18">
        <f t="shared" si="29"/>
        <v>1.1953879999999999</v>
      </c>
      <c r="AP15" s="18">
        <f t="shared" si="30"/>
        <v>8.1234749999999991</v>
      </c>
      <c r="AQ15" s="18">
        <f t="shared" si="31"/>
        <v>2.9868649999999999</v>
      </c>
      <c r="AR15" s="18">
        <f t="shared" si="32"/>
        <v>62.839647999999997</v>
      </c>
      <c r="AS15" s="2">
        <f t="shared" si="33"/>
        <v>22.95</v>
      </c>
      <c r="AT15" s="5">
        <f t="shared" si="34"/>
        <v>4</v>
      </c>
      <c r="AV15" s="7" t="s">
        <v>17</v>
      </c>
      <c r="AW15" s="2">
        <f t="shared" si="35"/>
        <v>15</v>
      </c>
      <c r="AX15" s="18">
        <f t="shared" si="36"/>
        <v>1.1953879999999999</v>
      </c>
      <c r="AY15" s="18">
        <f t="shared" si="37"/>
        <v>8.1234749999999991</v>
      </c>
      <c r="AZ15" s="18">
        <f t="shared" si="38"/>
        <v>2.9868649999999999</v>
      </c>
      <c r="BA15" s="18">
        <f t="shared" si="39"/>
        <v>62.839647999999997</v>
      </c>
      <c r="BB15" s="2">
        <f t="shared" si="40"/>
        <v>22.95</v>
      </c>
      <c r="BC15" s="5">
        <f t="shared" si="41"/>
        <v>4</v>
      </c>
    </row>
    <row r="16" spans="3:55" x14ac:dyDescent="0.3">
      <c r="C16" s="2" t="s">
        <v>14</v>
      </c>
      <c r="D16" s="2">
        <f t="shared" si="0"/>
        <v>15</v>
      </c>
      <c r="E16" s="18">
        <f t="shared" si="1"/>
        <v>1.1953879999999999</v>
      </c>
      <c r="F16" s="18">
        <f t="shared" si="2"/>
        <v>8.1234749999999991</v>
      </c>
      <c r="G16" s="18">
        <f t="shared" si="3"/>
        <v>2.9868649999999999</v>
      </c>
      <c r="H16" s="18">
        <f t="shared" si="4"/>
        <v>62.839647999999997</v>
      </c>
      <c r="I16" s="2">
        <f t="shared" si="5"/>
        <v>22.95</v>
      </c>
      <c r="J16" s="2">
        <f t="shared" si="6"/>
        <v>4</v>
      </c>
      <c r="L16" s="7" t="s">
        <v>18</v>
      </c>
      <c r="M16" s="2">
        <f t="shared" si="7"/>
        <v>12</v>
      </c>
      <c r="N16" s="18">
        <f t="shared" si="8"/>
        <v>1.1953879999999999</v>
      </c>
      <c r="O16" s="18">
        <f t="shared" si="9"/>
        <v>8.1234749999999991</v>
      </c>
      <c r="P16" s="18">
        <f t="shared" si="10"/>
        <v>2.9868649999999999</v>
      </c>
      <c r="Q16" s="18">
        <f t="shared" si="11"/>
        <v>62.839647999999997</v>
      </c>
      <c r="R16" s="2">
        <f t="shared" si="12"/>
        <v>22.95</v>
      </c>
      <c r="S16" s="5">
        <f t="shared" si="13"/>
        <v>4</v>
      </c>
      <c r="U16" s="7" t="s">
        <v>18</v>
      </c>
      <c r="V16" s="2">
        <f t="shared" si="14"/>
        <v>12</v>
      </c>
      <c r="W16" s="18">
        <f t="shared" si="15"/>
        <v>1.1953879999999999</v>
      </c>
      <c r="X16" s="18">
        <f t="shared" si="16"/>
        <v>8.1234749999999991</v>
      </c>
      <c r="Y16" s="18">
        <f t="shared" si="17"/>
        <v>2.9868649999999999</v>
      </c>
      <c r="Z16" s="18">
        <f t="shared" si="18"/>
        <v>62.839647999999997</v>
      </c>
      <c r="AA16" s="2">
        <f t="shared" si="19"/>
        <v>22.95</v>
      </c>
      <c r="AB16" s="5">
        <f t="shared" si="20"/>
        <v>4</v>
      </c>
      <c r="AD16" s="7" t="s">
        <v>18</v>
      </c>
      <c r="AE16" s="2">
        <f t="shared" si="21"/>
        <v>12</v>
      </c>
      <c r="AF16" s="18">
        <f t="shared" si="22"/>
        <v>1.1953879999999999</v>
      </c>
      <c r="AG16" s="18">
        <f t="shared" si="23"/>
        <v>8.1234749999999991</v>
      </c>
      <c r="AH16" s="18">
        <f t="shared" si="24"/>
        <v>2.9868649999999999</v>
      </c>
      <c r="AI16" s="18">
        <f t="shared" si="25"/>
        <v>62.839647999999997</v>
      </c>
      <c r="AJ16" s="2">
        <f t="shared" si="26"/>
        <v>22.95</v>
      </c>
      <c r="AK16" s="5">
        <f t="shared" si="27"/>
        <v>4</v>
      </c>
      <c r="AM16" s="7" t="s">
        <v>18</v>
      </c>
      <c r="AN16" s="2">
        <f t="shared" si="28"/>
        <v>12</v>
      </c>
      <c r="AO16" s="18">
        <f t="shared" si="29"/>
        <v>1.1953879999999999</v>
      </c>
      <c r="AP16" s="18">
        <f t="shared" si="30"/>
        <v>8.1234749999999991</v>
      </c>
      <c r="AQ16" s="18">
        <f t="shared" si="31"/>
        <v>2.9868649999999999</v>
      </c>
      <c r="AR16" s="18">
        <f t="shared" si="32"/>
        <v>62.839647999999997</v>
      </c>
      <c r="AS16" s="2">
        <f t="shared" si="33"/>
        <v>22.95</v>
      </c>
      <c r="AT16" s="5">
        <f t="shared" si="34"/>
        <v>4</v>
      </c>
      <c r="AV16" s="7" t="s">
        <v>18</v>
      </c>
      <c r="AW16" s="2">
        <f t="shared" si="35"/>
        <v>12</v>
      </c>
      <c r="AX16" s="18">
        <f t="shared" si="36"/>
        <v>1.1953879999999999</v>
      </c>
      <c r="AY16" s="18">
        <f t="shared" si="37"/>
        <v>8.1234749999999991</v>
      </c>
      <c r="AZ16" s="18">
        <f t="shared" si="38"/>
        <v>2.9868649999999999</v>
      </c>
      <c r="BA16" s="18">
        <f t="shared" si="39"/>
        <v>62.839647999999997</v>
      </c>
      <c r="BB16" s="2">
        <f t="shared" si="40"/>
        <v>22.95</v>
      </c>
      <c r="BC16" s="5">
        <f t="shared" si="41"/>
        <v>4</v>
      </c>
    </row>
    <row r="17" spans="3:55" x14ac:dyDescent="0.3">
      <c r="C17" s="2" t="s">
        <v>17</v>
      </c>
      <c r="D17" s="2">
        <f t="shared" si="0"/>
        <v>15</v>
      </c>
      <c r="E17" s="18">
        <f t="shared" si="1"/>
        <v>1.1953879999999999</v>
      </c>
      <c r="F17" s="18">
        <f t="shared" si="2"/>
        <v>8.1234749999999991</v>
      </c>
      <c r="G17" s="18">
        <f t="shared" si="3"/>
        <v>2.9868649999999999</v>
      </c>
      <c r="H17" s="18">
        <f t="shared" si="4"/>
        <v>62.839647999999997</v>
      </c>
      <c r="I17" s="2">
        <f t="shared" si="5"/>
        <v>22.95</v>
      </c>
      <c r="J17" s="2">
        <f t="shared" si="6"/>
        <v>4</v>
      </c>
      <c r="L17" s="7" t="s">
        <v>19</v>
      </c>
      <c r="M17" s="2">
        <f t="shared" si="7"/>
        <v>15</v>
      </c>
      <c r="N17" s="18">
        <f t="shared" si="8"/>
        <v>1.1953879999999999</v>
      </c>
      <c r="O17" s="18">
        <f t="shared" si="9"/>
        <v>8.1234749999999991</v>
      </c>
      <c r="P17" s="18">
        <f t="shared" si="10"/>
        <v>2.9868649999999999</v>
      </c>
      <c r="Q17" s="18">
        <f t="shared" si="11"/>
        <v>62.839647999999997</v>
      </c>
      <c r="R17" s="2">
        <f t="shared" si="12"/>
        <v>22.95</v>
      </c>
      <c r="S17" s="5">
        <f t="shared" si="13"/>
        <v>4</v>
      </c>
      <c r="U17" s="7" t="s">
        <v>19</v>
      </c>
      <c r="V17" s="2">
        <f t="shared" si="14"/>
        <v>15</v>
      </c>
      <c r="W17" s="18">
        <f t="shared" si="15"/>
        <v>1.1953879999999999</v>
      </c>
      <c r="X17" s="18">
        <f t="shared" si="16"/>
        <v>8.1234749999999991</v>
      </c>
      <c r="Y17" s="18">
        <f t="shared" si="17"/>
        <v>2.9868649999999999</v>
      </c>
      <c r="Z17" s="18">
        <f t="shared" si="18"/>
        <v>62.839647999999997</v>
      </c>
      <c r="AA17" s="2">
        <f t="shared" si="19"/>
        <v>22.95</v>
      </c>
      <c r="AB17" s="5">
        <f t="shared" si="20"/>
        <v>4</v>
      </c>
      <c r="AD17" s="7" t="s">
        <v>19</v>
      </c>
      <c r="AE17" s="2">
        <f t="shared" si="21"/>
        <v>15</v>
      </c>
      <c r="AF17" s="18">
        <f t="shared" si="22"/>
        <v>1.1953879999999999</v>
      </c>
      <c r="AG17" s="18">
        <f t="shared" si="23"/>
        <v>8.1234749999999991</v>
      </c>
      <c r="AH17" s="18">
        <f t="shared" si="24"/>
        <v>2.9868649999999999</v>
      </c>
      <c r="AI17" s="18">
        <f t="shared" si="25"/>
        <v>62.839647999999997</v>
      </c>
      <c r="AJ17" s="2">
        <f t="shared" si="26"/>
        <v>22.95</v>
      </c>
      <c r="AK17" s="5">
        <f t="shared" si="27"/>
        <v>4</v>
      </c>
      <c r="AM17" s="7" t="s">
        <v>19</v>
      </c>
      <c r="AN17" s="2">
        <f t="shared" si="28"/>
        <v>15</v>
      </c>
      <c r="AO17" s="18">
        <f t="shared" si="29"/>
        <v>1.1953879999999999</v>
      </c>
      <c r="AP17" s="18">
        <f t="shared" si="30"/>
        <v>8.1234749999999991</v>
      </c>
      <c r="AQ17" s="18">
        <f t="shared" si="31"/>
        <v>2.9868649999999999</v>
      </c>
      <c r="AR17" s="18">
        <f t="shared" si="32"/>
        <v>62.839647999999997</v>
      </c>
      <c r="AS17" s="2">
        <f t="shared" si="33"/>
        <v>22.95</v>
      </c>
      <c r="AT17" s="5">
        <f t="shared" si="34"/>
        <v>4</v>
      </c>
      <c r="AV17" s="7" t="s">
        <v>19</v>
      </c>
      <c r="AW17" s="2">
        <f t="shared" si="35"/>
        <v>15</v>
      </c>
      <c r="AX17" s="18">
        <f t="shared" si="36"/>
        <v>1.1953879999999999</v>
      </c>
      <c r="AY17" s="18">
        <f t="shared" si="37"/>
        <v>8.1234749999999991</v>
      </c>
      <c r="AZ17" s="18">
        <f t="shared" si="38"/>
        <v>2.9868649999999999</v>
      </c>
      <c r="BA17" s="18">
        <f t="shared" si="39"/>
        <v>62.839647999999997</v>
      </c>
      <c r="BB17" s="2">
        <f t="shared" si="40"/>
        <v>22.95</v>
      </c>
      <c r="BC17" s="5">
        <f t="shared" si="41"/>
        <v>4</v>
      </c>
    </row>
    <row r="18" spans="3:55" x14ac:dyDescent="0.3">
      <c r="C18" s="2" t="s">
        <v>18</v>
      </c>
      <c r="D18" s="2">
        <f t="shared" si="0"/>
        <v>12</v>
      </c>
      <c r="E18" s="18">
        <f t="shared" si="1"/>
        <v>1.1953879999999999</v>
      </c>
      <c r="F18" s="18">
        <f t="shared" si="2"/>
        <v>8.1234749999999991</v>
      </c>
      <c r="G18" s="18">
        <f t="shared" si="3"/>
        <v>2.9868649999999999</v>
      </c>
      <c r="H18" s="18">
        <f t="shared" si="4"/>
        <v>62.839647999999997</v>
      </c>
      <c r="I18" s="2">
        <f t="shared" si="5"/>
        <v>22.95</v>
      </c>
      <c r="J18" s="2">
        <f t="shared" si="6"/>
        <v>4</v>
      </c>
      <c r="L18" s="7" t="s">
        <v>1</v>
      </c>
      <c r="M18" s="2">
        <f t="shared" si="7"/>
        <v>5.2</v>
      </c>
      <c r="N18" s="18">
        <f t="shared" si="8"/>
        <v>1.1953879999999999</v>
      </c>
      <c r="O18" s="18">
        <f t="shared" si="9"/>
        <v>8.1234749999999991</v>
      </c>
      <c r="P18" s="18">
        <f t="shared" si="10"/>
        <v>2.9868649999999999</v>
      </c>
      <c r="Q18" s="18">
        <f t="shared" si="11"/>
        <v>62.839647999999997</v>
      </c>
      <c r="R18" s="2">
        <f t="shared" si="12"/>
        <v>22.95</v>
      </c>
      <c r="S18" s="5">
        <f t="shared" si="13"/>
        <v>4</v>
      </c>
      <c r="U18" s="7" t="s">
        <v>1</v>
      </c>
      <c r="V18" s="2">
        <f t="shared" si="14"/>
        <v>5.2</v>
      </c>
      <c r="W18" s="18">
        <f t="shared" si="15"/>
        <v>1.1953879999999999</v>
      </c>
      <c r="X18" s="18">
        <f t="shared" si="16"/>
        <v>8.1234749999999991</v>
      </c>
      <c r="Y18" s="18">
        <f t="shared" si="17"/>
        <v>2.9868649999999999</v>
      </c>
      <c r="Z18" s="18">
        <f t="shared" si="18"/>
        <v>62.839647999999997</v>
      </c>
      <c r="AA18" s="2">
        <f t="shared" si="19"/>
        <v>22.95</v>
      </c>
      <c r="AB18" s="5">
        <f t="shared" si="20"/>
        <v>4</v>
      </c>
      <c r="AD18" s="7" t="s">
        <v>1</v>
      </c>
      <c r="AE18" s="2">
        <f t="shared" si="21"/>
        <v>5.2</v>
      </c>
      <c r="AF18" s="18">
        <f t="shared" si="22"/>
        <v>1.1953879999999999</v>
      </c>
      <c r="AG18" s="18">
        <f t="shared" si="23"/>
        <v>8.1234749999999991</v>
      </c>
      <c r="AH18" s="18">
        <f t="shared" si="24"/>
        <v>2.9868649999999999</v>
      </c>
      <c r="AI18" s="18">
        <f t="shared" si="25"/>
        <v>62.839647999999997</v>
      </c>
      <c r="AJ18" s="2">
        <f t="shared" si="26"/>
        <v>22.95</v>
      </c>
      <c r="AK18" s="5">
        <f t="shared" si="27"/>
        <v>4</v>
      </c>
      <c r="AM18" s="7" t="s">
        <v>1</v>
      </c>
      <c r="AN18" s="2">
        <f t="shared" si="28"/>
        <v>5.2</v>
      </c>
      <c r="AO18" s="18">
        <f t="shared" si="29"/>
        <v>1.1953879999999999</v>
      </c>
      <c r="AP18" s="18">
        <f t="shared" si="30"/>
        <v>8.1234749999999991</v>
      </c>
      <c r="AQ18" s="18">
        <f t="shared" si="31"/>
        <v>2.9868649999999999</v>
      </c>
      <c r="AR18" s="18">
        <f t="shared" si="32"/>
        <v>62.839647999999997</v>
      </c>
      <c r="AS18" s="2">
        <f t="shared" si="33"/>
        <v>22.95</v>
      </c>
      <c r="AT18" s="5">
        <f t="shared" si="34"/>
        <v>4</v>
      </c>
      <c r="AV18" s="7" t="s">
        <v>1</v>
      </c>
      <c r="AW18" s="2">
        <f t="shared" si="35"/>
        <v>5.2</v>
      </c>
      <c r="AX18" s="18">
        <f t="shared" si="36"/>
        <v>1.1953879999999999</v>
      </c>
      <c r="AY18" s="18">
        <f t="shared" si="37"/>
        <v>8.1234749999999991</v>
      </c>
      <c r="AZ18" s="18">
        <f t="shared" si="38"/>
        <v>2.9868649999999999</v>
      </c>
      <c r="BA18" s="18">
        <f t="shared" si="39"/>
        <v>62.839647999999997</v>
      </c>
      <c r="BB18" s="2">
        <f t="shared" si="40"/>
        <v>22.95</v>
      </c>
      <c r="BC18" s="5">
        <f t="shared" si="41"/>
        <v>4</v>
      </c>
    </row>
    <row r="19" spans="3:55" x14ac:dyDescent="0.3">
      <c r="C19" s="2" t="s">
        <v>19</v>
      </c>
      <c r="D19" s="2">
        <f t="shared" si="0"/>
        <v>15</v>
      </c>
      <c r="E19" s="18">
        <f t="shared" si="1"/>
        <v>1.1953879999999999</v>
      </c>
      <c r="F19" s="18">
        <f t="shared" si="2"/>
        <v>8.1234749999999991</v>
      </c>
      <c r="G19" s="18">
        <f t="shared" si="3"/>
        <v>2.9868649999999999</v>
      </c>
      <c r="H19" s="18">
        <f t="shared" si="4"/>
        <v>62.839647999999997</v>
      </c>
      <c r="I19" s="2">
        <f t="shared" si="5"/>
        <v>22.95</v>
      </c>
      <c r="J19" s="2">
        <f t="shared" si="6"/>
        <v>4</v>
      </c>
      <c r="L19" s="7" t="s">
        <v>18</v>
      </c>
      <c r="M19" s="2">
        <f t="shared" si="7"/>
        <v>12</v>
      </c>
      <c r="N19" s="18">
        <f t="shared" si="8"/>
        <v>1.1953879999999999</v>
      </c>
      <c r="O19" s="18">
        <f t="shared" si="9"/>
        <v>8.1234749999999991</v>
      </c>
      <c r="P19" s="18">
        <f t="shared" si="10"/>
        <v>2.9868649999999999</v>
      </c>
      <c r="Q19" s="18">
        <f t="shared" si="11"/>
        <v>62.839647999999997</v>
      </c>
      <c r="R19" s="2">
        <f t="shared" si="12"/>
        <v>22.95</v>
      </c>
      <c r="S19" s="5">
        <f t="shared" si="13"/>
        <v>4</v>
      </c>
      <c r="U19" s="7" t="s">
        <v>18</v>
      </c>
      <c r="V19" s="2">
        <f t="shared" si="14"/>
        <v>12</v>
      </c>
      <c r="W19" s="18">
        <f t="shared" si="15"/>
        <v>1.1953879999999999</v>
      </c>
      <c r="X19" s="18">
        <f t="shared" si="16"/>
        <v>8.1234749999999991</v>
      </c>
      <c r="Y19" s="18">
        <f t="shared" si="17"/>
        <v>2.9868649999999999</v>
      </c>
      <c r="Z19" s="18">
        <f t="shared" si="18"/>
        <v>62.839647999999997</v>
      </c>
      <c r="AA19" s="2">
        <f t="shared" si="19"/>
        <v>22.95</v>
      </c>
      <c r="AB19" s="5">
        <f t="shared" si="20"/>
        <v>4</v>
      </c>
      <c r="AD19" s="7" t="s">
        <v>18</v>
      </c>
      <c r="AE19" s="2">
        <f t="shared" si="21"/>
        <v>12</v>
      </c>
      <c r="AF19" s="18">
        <f t="shared" si="22"/>
        <v>1.1953879999999999</v>
      </c>
      <c r="AG19" s="18">
        <f t="shared" si="23"/>
        <v>8.1234749999999991</v>
      </c>
      <c r="AH19" s="18">
        <f t="shared" si="24"/>
        <v>2.9868649999999999</v>
      </c>
      <c r="AI19" s="18">
        <f t="shared" si="25"/>
        <v>62.839647999999997</v>
      </c>
      <c r="AJ19" s="2">
        <f t="shared" si="26"/>
        <v>22.95</v>
      </c>
      <c r="AK19" s="5">
        <f t="shared" si="27"/>
        <v>4</v>
      </c>
      <c r="AM19" s="7" t="s">
        <v>18</v>
      </c>
      <c r="AN19" s="2">
        <f t="shared" si="28"/>
        <v>12</v>
      </c>
      <c r="AO19" s="18">
        <f t="shared" si="29"/>
        <v>1.1953879999999999</v>
      </c>
      <c r="AP19" s="18">
        <f t="shared" si="30"/>
        <v>8.1234749999999991</v>
      </c>
      <c r="AQ19" s="18">
        <f t="shared" si="31"/>
        <v>2.9868649999999999</v>
      </c>
      <c r="AR19" s="18">
        <f t="shared" si="32"/>
        <v>62.839647999999997</v>
      </c>
      <c r="AS19" s="2">
        <f t="shared" si="33"/>
        <v>22.95</v>
      </c>
      <c r="AT19" s="5">
        <f t="shared" si="34"/>
        <v>4</v>
      </c>
      <c r="AV19" s="7" t="s">
        <v>18</v>
      </c>
      <c r="AW19" s="2">
        <f t="shared" si="35"/>
        <v>12</v>
      </c>
      <c r="AX19" s="18">
        <f t="shared" si="36"/>
        <v>1.1953879999999999</v>
      </c>
      <c r="AY19" s="18">
        <f t="shared" si="37"/>
        <v>8.1234749999999991</v>
      </c>
      <c r="AZ19" s="18">
        <f t="shared" si="38"/>
        <v>2.9868649999999999</v>
      </c>
      <c r="BA19" s="18">
        <f t="shared" si="39"/>
        <v>62.839647999999997</v>
      </c>
      <c r="BB19" s="2">
        <f t="shared" si="40"/>
        <v>22.95</v>
      </c>
      <c r="BC19" s="5">
        <f t="shared" si="41"/>
        <v>4</v>
      </c>
    </row>
    <row r="20" spans="3:55" x14ac:dyDescent="0.3">
      <c r="C20" s="2" t="s">
        <v>1</v>
      </c>
      <c r="D20" s="2">
        <f t="shared" si="0"/>
        <v>5.2</v>
      </c>
      <c r="E20" s="18">
        <f t="shared" si="1"/>
        <v>1.1953879999999999</v>
      </c>
      <c r="F20" s="18">
        <f t="shared" si="2"/>
        <v>8.1234749999999991</v>
      </c>
      <c r="G20" s="18">
        <f t="shared" si="3"/>
        <v>2.9868649999999999</v>
      </c>
      <c r="H20" s="18">
        <f t="shared" si="4"/>
        <v>62.839647999999997</v>
      </c>
      <c r="I20" s="2">
        <f t="shared" si="5"/>
        <v>22.95</v>
      </c>
      <c r="J20" s="2">
        <f t="shared" si="6"/>
        <v>4</v>
      </c>
      <c r="L20" s="7" t="s">
        <v>17</v>
      </c>
      <c r="M20" s="2">
        <f t="shared" si="7"/>
        <v>15</v>
      </c>
      <c r="N20" s="18">
        <f t="shared" si="8"/>
        <v>1.1953879999999999</v>
      </c>
      <c r="O20" s="18">
        <f t="shared" si="9"/>
        <v>8.1234749999999991</v>
      </c>
      <c r="P20" s="18">
        <f t="shared" si="10"/>
        <v>2.9868649999999999</v>
      </c>
      <c r="Q20" s="18">
        <f t="shared" si="11"/>
        <v>62.839647999999997</v>
      </c>
      <c r="R20" s="2">
        <f t="shared" si="12"/>
        <v>22.95</v>
      </c>
      <c r="S20" s="5">
        <f t="shared" si="13"/>
        <v>4</v>
      </c>
      <c r="U20" s="7" t="s">
        <v>17</v>
      </c>
      <c r="V20" s="2">
        <f t="shared" si="14"/>
        <v>15</v>
      </c>
      <c r="W20" s="18">
        <f t="shared" si="15"/>
        <v>1.1953879999999999</v>
      </c>
      <c r="X20" s="18">
        <f t="shared" si="16"/>
        <v>8.1234749999999991</v>
      </c>
      <c r="Y20" s="18">
        <f t="shared" si="17"/>
        <v>2.9868649999999999</v>
      </c>
      <c r="Z20" s="18">
        <f t="shared" si="18"/>
        <v>62.839647999999997</v>
      </c>
      <c r="AA20" s="2">
        <f t="shared" si="19"/>
        <v>22.95</v>
      </c>
      <c r="AB20" s="5">
        <f t="shared" si="20"/>
        <v>4</v>
      </c>
      <c r="AD20" s="7" t="s">
        <v>17</v>
      </c>
      <c r="AE20" s="2">
        <f t="shared" si="21"/>
        <v>15</v>
      </c>
      <c r="AF20" s="18">
        <f t="shared" si="22"/>
        <v>1.1953879999999999</v>
      </c>
      <c r="AG20" s="18">
        <f t="shared" si="23"/>
        <v>8.1234749999999991</v>
      </c>
      <c r="AH20" s="18">
        <f t="shared" si="24"/>
        <v>2.9868649999999999</v>
      </c>
      <c r="AI20" s="18">
        <f t="shared" si="25"/>
        <v>62.839647999999997</v>
      </c>
      <c r="AJ20" s="2">
        <f t="shared" si="26"/>
        <v>22.95</v>
      </c>
      <c r="AK20" s="5">
        <f t="shared" si="27"/>
        <v>4</v>
      </c>
      <c r="AM20" s="7" t="s">
        <v>17</v>
      </c>
      <c r="AN20" s="2">
        <f t="shared" si="28"/>
        <v>15</v>
      </c>
      <c r="AO20" s="18">
        <f t="shared" si="29"/>
        <v>1.1953879999999999</v>
      </c>
      <c r="AP20" s="18">
        <f t="shared" si="30"/>
        <v>8.1234749999999991</v>
      </c>
      <c r="AQ20" s="18">
        <f t="shared" si="31"/>
        <v>2.9868649999999999</v>
      </c>
      <c r="AR20" s="18">
        <f t="shared" si="32"/>
        <v>62.839647999999997</v>
      </c>
      <c r="AS20" s="2">
        <f t="shared" si="33"/>
        <v>22.95</v>
      </c>
      <c r="AT20" s="5">
        <f t="shared" si="34"/>
        <v>4</v>
      </c>
      <c r="AV20" s="7" t="s">
        <v>17</v>
      </c>
      <c r="AW20" s="2">
        <f t="shared" si="35"/>
        <v>15</v>
      </c>
      <c r="AX20" s="18">
        <f t="shared" si="36"/>
        <v>1.1953879999999999</v>
      </c>
      <c r="AY20" s="18">
        <f t="shared" si="37"/>
        <v>8.1234749999999991</v>
      </c>
      <c r="AZ20" s="18">
        <f t="shared" si="38"/>
        <v>2.9868649999999999</v>
      </c>
      <c r="BA20" s="18">
        <f t="shared" si="39"/>
        <v>62.839647999999997</v>
      </c>
      <c r="BB20" s="2">
        <f t="shared" si="40"/>
        <v>22.95</v>
      </c>
      <c r="BC20" s="5">
        <f t="shared" si="41"/>
        <v>4</v>
      </c>
    </row>
    <row r="21" spans="3:55" x14ac:dyDescent="0.3">
      <c r="C21" s="2" t="s">
        <v>19</v>
      </c>
      <c r="D21" s="2">
        <f t="shared" si="0"/>
        <v>15</v>
      </c>
      <c r="E21" s="18">
        <f t="shared" si="1"/>
        <v>1.1953879999999999</v>
      </c>
      <c r="F21" s="18">
        <f t="shared" si="2"/>
        <v>8.1234749999999991</v>
      </c>
      <c r="G21" s="18">
        <f t="shared" si="3"/>
        <v>2.9868649999999999</v>
      </c>
      <c r="H21" s="18">
        <f t="shared" si="4"/>
        <v>62.839647999999997</v>
      </c>
      <c r="I21" s="2">
        <f t="shared" si="5"/>
        <v>22.95</v>
      </c>
      <c r="J21" s="2">
        <f t="shared" si="6"/>
        <v>4</v>
      </c>
      <c r="L21" s="7" t="s">
        <v>14</v>
      </c>
      <c r="M21" s="2">
        <f t="shared" si="7"/>
        <v>15</v>
      </c>
      <c r="N21" s="18">
        <f t="shared" si="8"/>
        <v>1.1953879999999999</v>
      </c>
      <c r="O21" s="18">
        <f t="shared" si="9"/>
        <v>8.1234749999999991</v>
      </c>
      <c r="P21" s="18">
        <f t="shared" si="10"/>
        <v>2.9868649999999999</v>
      </c>
      <c r="Q21" s="18">
        <f t="shared" si="11"/>
        <v>62.839647999999997</v>
      </c>
      <c r="R21" s="2">
        <f t="shared" si="12"/>
        <v>22.95</v>
      </c>
      <c r="S21" s="5">
        <f t="shared" si="13"/>
        <v>4</v>
      </c>
      <c r="U21" s="7" t="s">
        <v>14</v>
      </c>
      <c r="V21" s="2">
        <f t="shared" si="14"/>
        <v>15</v>
      </c>
      <c r="W21" s="18">
        <f t="shared" si="15"/>
        <v>1.1953879999999999</v>
      </c>
      <c r="X21" s="18">
        <f t="shared" si="16"/>
        <v>8.1234749999999991</v>
      </c>
      <c r="Y21" s="18">
        <f t="shared" si="17"/>
        <v>2.9868649999999999</v>
      </c>
      <c r="Z21" s="18">
        <f t="shared" si="18"/>
        <v>62.839647999999997</v>
      </c>
      <c r="AA21" s="2">
        <f t="shared" si="19"/>
        <v>22.95</v>
      </c>
      <c r="AB21" s="5">
        <f t="shared" si="20"/>
        <v>4</v>
      </c>
      <c r="AD21" s="2" t="s">
        <v>14</v>
      </c>
      <c r="AE21" s="2">
        <f t="shared" si="21"/>
        <v>15</v>
      </c>
      <c r="AF21" s="18">
        <f t="shared" si="22"/>
        <v>1.1953879999999999</v>
      </c>
      <c r="AG21" s="18">
        <f t="shared" si="23"/>
        <v>8.1234749999999991</v>
      </c>
      <c r="AH21" s="18">
        <f t="shared" si="24"/>
        <v>2.9868649999999999</v>
      </c>
      <c r="AI21" s="18">
        <f t="shared" si="25"/>
        <v>62.839647999999997</v>
      </c>
      <c r="AJ21" s="2">
        <f t="shared" si="26"/>
        <v>22.95</v>
      </c>
      <c r="AK21" s="2">
        <f t="shared" si="27"/>
        <v>4</v>
      </c>
      <c r="AM21" s="7" t="s">
        <v>14</v>
      </c>
      <c r="AN21" s="2">
        <f t="shared" si="28"/>
        <v>15</v>
      </c>
      <c r="AO21" s="18">
        <f t="shared" si="29"/>
        <v>1.1953879999999999</v>
      </c>
      <c r="AP21" s="18">
        <f t="shared" si="30"/>
        <v>8.1234749999999991</v>
      </c>
      <c r="AQ21" s="18">
        <f t="shared" si="31"/>
        <v>2.9868649999999999</v>
      </c>
      <c r="AR21" s="18">
        <f t="shared" si="32"/>
        <v>62.839647999999997</v>
      </c>
      <c r="AS21" s="2">
        <f t="shared" si="33"/>
        <v>22.95</v>
      </c>
      <c r="AT21" s="5">
        <f t="shared" si="34"/>
        <v>4</v>
      </c>
      <c r="AV21" s="7" t="s">
        <v>14</v>
      </c>
      <c r="AW21" s="2">
        <f t="shared" si="35"/>
        <v>15</v>
      </c>
      <c r="AX21" s="18">
        <f t="shared" si="36"/>
        <v>1.1953879999999999</v>
      </c>
      <c r="AY21" s="18">
        <f t="shared" si="37"/>
        <v>8.1234749999999991</v>
      </c>
      <c r="AZ21" s="18">
        <f t="shared" si="38"/>
        <v>2.9868649999999999</v>
      </c>
      <c r="BA21" s="18">
        <f t="shared" si="39"/>
        <v>62.839647999999997</v>
      </c>
      <c r="BB21" s="2">
        <f t="shared" si="40"/>
        <v>22.95</v>
      </c>
      <c r="BC21" s="5">
        <f t="shared" si="41"/>
        <v>4</v>
      </c>
    </row>
    <row r="22" spans="3:55" x14ac:dyDescent="0.3">
      <c r="C22" s="2" t="s">
        <v>18</v>
      </c>
      <c r="D22" s="2">
        <f t="shared" si="0"/>
        <v>12</v>
      </c>
      <c r="E22" s="18">
        <f t="shared" si="1"/>
        <v>1.1953879999999999</v>
      </c>
      <c r="F22" s="18">
        <f t="shared" si="2"/>
        <v>8.1234749999999991</v>
      </c>
      <c r="G22" s="18">
        <f t="shared" si="3"/>
        <v>2.9868649999999999</v>
      </c>
      <c r="H22" s="18">
        <f t="shared" si="4"/>
        <v>62.839647999999997</v>
      </c>
      <c r="I22" s="2">
        <f t="shared" si="5"/>
        <v>22.95</v>
      </c>
      <c r="J22" s="2">
        <f t="shared" si="6"/>
        <v>4</v>
      </c>
      <c r="L22" s="7" t="s">
        <v>16</v>
      </c>
      <c r="M22" s="2">
        <f t="shared" si="7"/>
        <v>15</v>
      </c>
      <c r="N22" s="18">
        <f t="shared" si="8"/>
        <v>1.1953879999999999</v>
      </c>
      <c r="O22" s="18">
        <f t="shared" si="9"/>
        <v>8.1234749999999991</v>
      </c>
      <c r="P22" s="18">
        <f t="shared" si="10"/>
        <v>2.9868649999999999</v>
      </c>
      <c r="Q22" s="18">
        <f t="shared" si="11"/>
        <v>62.839647999999997</v>
      </c>
      <c r="R22" s="2">
        <f t="shared" si="12"/>
        <v>22.95</v>
      </c>
      <c r="S22" s="5">
        <f t="shared" si="13"/>
        <v>4</v>
      </c>
      <c r="U22" s="7" t="s">
        <v>16</v>
      </c>
      <c r="V22" s="2">
        <f t="shared" si="14"/>
        <v>15</v>
      </c>
      <c r="W22" s="18">
        <f t="shared" si="15"/>
        <v>1.1953879999999999</v>
      </c>
      <c r="X22" s="18">
        <f t="shared" si="16"/>
        <v>8.1234749999999991</v>
      </c>
      <c r="Y22" s="18">
        <f t="shared" si="17"/>
        <v>2.9868649999999999</v>
      </c>
      <c r="Z22" s="18">
        <f t="shared" si="18"/>
        <v>62.839647999999997</v>
      </c>
      <c r="AA22" s="2">
        <f t="shared" si="19"/>
        <v>22.95</v>
      </c>
      <c r="AB22" s="5">
        <f t="shared" si="20"/>
        <v>4</v>
      </c>
      <c r="AD22" s="2" t="s">
        <v>16</v>
      </c>
      <c r="AE22" s="2">
        <f t="shared" si="21"/>
        <v>15</v>
      </c>
      <c r="AF22" s="18">
        <f t="shared" si="22"/>
        <v>1.1953879999999999</v>
      </c>
      <c r="AG22" s="18">
        <f t="shared" si="23"/>
        <v>8.1234749999999991</v>
      </c>
      <c r="AH22" s="18">
        <f t="shared" si="24"/>
        <v>2.9868649999999999</v>
      </c>
      <c r="AI22" s="18">
        <f t="shared" si="25"/>
        <v>62.839647999999997</v>
      </c>
      <c r="AJ22" s="2">
        <f t="shared" si="26"/>
        <v>22.95</v>
      </c>
      <c r="AK22" s="2">
        <f t="shared" si="27"/>
        <v>4</v>
      </c>
      <c r="AM22" s="7" t="s">
        <v>16</v>
      </c>
      <c r="AN22" s="2">
        <f t="shared" si="28"/>
        <v>15</v>
      </c>
      <c r="AO22" s="18">
        <f t="shared" si="29"/>
        <v>1.1953879999999999</v>
      </c>
      <c r="AP22" s="18">
        <f t="shared" si="30"/>
        <v>8.1234749999999991</v>
      </c>
      <c r="AQ22" s="18">
        <f t="shared" si="31"/>
        <v>2.9868649999999999</v>
      </c>
      <c r="AR22" s="18">
        <f t="shared" si="32"/>
        <v>62.839647999999997</v>
      </c>
      <c r="AS22" s="2">
        <f t="shared" si="33"/>
        <v>22.95</v>
      </c>
      <c r="AT22" s="5">
        <f t="shared" si="34"/>
        <v>4</v>
      </c>
      <c r="AV22" s="7" t="s">
        <v>16</v>
      </c>
      <c r="AW22" s="2">
        <f t="shared" si="35"/>
        <v>15</v>
      </c>
      <c r="AX22" s="18">
        <f t="shared" si="36"/>
        <v>1.1953879999999999</v>
      </c>
      <c r="AY22" s="18">
        <f t="shared" si="37"/>
        <v>8.1234749999999991</v>
      </c>
      <c r="AZ22" s="18">
        <f t="shared" si="38"/>
        <v>2.9868649999999999</v>
      </c>
      <c r="BA22" s="18">
        <f t="shared" si="39"/>
        <v>62.839647999999997</v>
      </c>
      <c r="BB22" s="2">
        <f t="shared" si="40"/>
        <v>22.95</v>
      </c>
      <c r="BC22" s="5">
        <f t="shared" si="41"/>
        <v>4</v>
      </c>
    </row>
    <row r="23" spans="3:55" x14ac:dyDescent="0.3">
      <c r="C23" s="2" t="s">
        <v>17</v>
      </c>
      <c r="D23" s="2">
        <f t="shared" si="0"/>
        <v>15</v>
      </c>
      <c r="E23" s="18">
        <f t="shared" si="1"/>
        <v>1.1953879999999999</v>
      </c>
      <c r="F23" s="18">
        <f t="shared" si="2"/>
        <v>8.1234749999999991</v>
      </c>
      <c r="G23" s="18">
        <f t="shared" si="3"/>
        <v>2.9868649999999999</v>
      </c>
      <c r="H23" s="18">
        <f t="shared" si="4"/>
        <v>62.839647999999997</v>
      </c>
      <c r="I23" s="2">
        <f t="shared" si="5"/>
        <v>22.95</v>
      </c>
      <c r="J23" s="2">
        <f t="shared" si="6"/>
        <v>4</v>
      </c>
      <c r="L23" s="7" t="s">
        <v>14</v>
      </c>
      <c r="M23" s="2">
        <f t="shared" si="7"/>
        <v>15</v>
      </c>
      <c r="N23" s="18">
        <f t="shared" si="8"/>
        <v>1.1953879999999999</v>
      </c>
      <c r="O23" s="18">
        <f t="shared" si="9"/>
        <v>8.1234749999999991</v>
      </c>
      <c r="P23" s="18">
        <f t="shared" si="10"/>
        <v>2.9868649999999999</v>
      </c>
      <c r="Q23" s="18">
        <f t="shared" si="11"/>
        <v>62.839647999999997</v>
      </c>
      <c r="R23" s="2">
        <f t="shared" si="12"/>
        <v>22.95</v>
      </c>
      <c r="S23" s="5">
        <f t="shared" si="13"/>
        <v>4</v>
      </c>
      <c r="U23" s="7" t="s">
        <v>14</v>
      </c>
      <c r="V23" s="2">
        <f t="shared" si="14"/>
        <v>15</v>
      </c>
      <c r="W23" s="18">
        <f t="shared" si="15"/>
        <v>1.1953879999999999</v>
      </c>
      <c r="X23" s="18">
        <f t="shared" si="16"/>
        <v>8.1234749999999991</v>
      </c>
      <c r="Y23" s="18">
        <f t="shared" si="17"/>
        <v>2.9868649999999999</v>
      </c>
      <c r="Z23" s="18">
        <f t="shared" si="18"/>
        <v>62.839647999999997</v>
      </c>
      <c r="AA23" s="2">
        <f t="shared" si="19"/>
        <v>22.95</v>
      </c>
      <c r="AB23" s="5">
        <f t="shared" si="20"/>
        <v>4</v>
      </c>
      <c r="AD23" s="2" t="s">
        <v>14</v>
      </c>
      <c r="AE23" s="2">
        <f t="shared" si="21"/>
        <v>15</v>
      </c>
      <c r="AF23" s="18">
        <f t="shared" si="22"/>
        <v>1.1953879999999999</v>
      </c>
      <c r="AG23" s="18">
        <f t="shared" si="23"/>
        <v>8.1234749999999991</v>
      </c>
      <c r="AH23" s="18">
        <f t="shared" si="24"/>
        <v>2.9868649999999999</v>
      </c>
      <c r="AI23" s="18">
        <f t="shared" si="25"/>
        <v>62.839647999999997</v>
      </c>
      <c r="AJ23" s="2">
        <f t="shared" si="26"/>
        <v>22.95</v>
      </c>
      <c r="AK23" s="2">
        <f t="shared" si="27"/>
        <v>4</v>
      </c>
      <c r="AM23" s="7" t="s">
        <v>14</v>
      </c>
      <c r="AN23" s="2">
        <f t="shared" si="28"/>
        <v>15</v>
      </c>
      <c r="AO23" s="18">
        <f t="shared" si="29"/>
        <v>1.1953879999999999</v>
      </c>
      <c r="AP23" s="18">
        <f t="shared" si="30"/>
        <v>8.1234749999999991</v>
      </c>
      <c r="AQ23" s="18">
        <f t="shared" si="31"/>
        <v>2.9868649999999999</v>
      </c>
      <c r="AR23" s="18">
        <f t="shared" si="32"/>
        <v>62.839647999999997</v>
      </c>
      <c r="AS23" s="2">
        <f t="shared" si="33"/>
        <v>22.95</v>
      </c>
      <c r="AT23" s="5">
        <f t="shared" si="34"/>
        <v>4</v>
      </c>
      <c r="AV23" s="7" t="s">
        <v>14</v>
      </c>
      <c r="AW23" s="2">
        <f t="shared" si="35"/>
        <v>15</v>
      </c>
      <c r="AX23" s="18">
        <f t="shared" si="36"/>
        <v>1.1953879999999999</v>
      </c>
      <c r="AY23" s="18">
        <f t="shared" si="37"/>
        <v>8.1234749999999991</v>
      </c>
      <c r="AZ23" s="18">
        <f t="shared" si="38"/>
        <v>2.9868649999999999</v>
      </c>
      <c r="BA23" s="18">
        <f t="shared" si="39"/>
        <v>62.839647999999997</v>
      </c>
      <c r="BB23" s="2">
        <f t="shared" si="40"/>
        <v>22.95</v>
      </c>
      <c r="BC23" s="5">
        <f t="shared" si="41"/>
        <v>4</v>
      </c>
    </row>
    <row r="24" spans="3:55" x14ac:dyDescent="0.3">
      <c r="C24" s="2" t="s">
        <v>14</v>
      </c>
      <c r="D24" s="2">
        <f t="shared" si="0"/>
        <v>15</v>
      </c>
      <c r="E24" s="18">
        <f t="shared" si="1"/>
        <v>1.1953879999999999</v>
      </c>
      <c r="F24" s="18">
        <f t="shared" si="2"/>
        <v>8.1234749999999991</v>
      </c>
      <c r="G24" s="18">
        <f t="shared" si="3"/>
        <v>2.9868649999999999</v>
      </c>
      <c r="H24" s="18">
        <f t="shared" si="4"/>
        <v>62.839647999999997</v>
      </c>
      <c r="I24" s="2">
        <f t="shared" si="5"/>
        <v>22.95</v>
      </c>
      <c r="J24" s="2">
        <f t="shared" si="6"/>
        <v>4</v>
      </c>
      <c r="L24" s="7" t="s">
        <v>15</v>
      </c>
      <c r="M24" s="2">
        <f t="shared" si="7"/>
        <v>15</v>
      </c>
      <c r="N24" s="18">
        <f t="shared" si="8"/>
        <v>1.1953879999999999</v>
      </c>
      <c r="O24" s="18">
        <f t="shared" si="9"/>
        <v>8.1234749999999991</v>
      </c>
      <c r="P24" s="18">
        <f t="shared" si="10"/>
        <v>2.9868649999999999</v>
      </c>
      <c r="Q24" s="18">
        <f t="shared" si="11"/>
        <v>62.839647999999997</v>
      </c>
      <c r="R24" s="2">
        <f t="shared" si="12"/>
        <v>22.95</v>
      </c>
      <c r="S24" s="5">
        <f t="shared" si="13"/>
        <v>4</v>
      </c>
      <c r="U24" s="7" t="s">
        <v>15</v>
      </c>
      <c r="V24" s="2">
        <f t="shared" si="14"/>
        <v>15</v>
      </c>
      <c r="W24" s="18">
        <f t="shared" si="15"/>
        <v>1.1953879999999999</v>
      </c>
      <c r="X24" s="18">
        <f t="shared" si="16"/>
        <v>8.1234749999999991</v>
      </c>
      <c r="Y24" s="18">
        <f t="shared" si="17"/>
        <v>2.9868649999999999</v>
      </c>
      <c r="Z24" s="18">
        <f t="shared" si="18"/>
        <v>62.839647999999997</v>
      </c>
      <c r="AA24" s="2">
        <f t="shared" si="19"/>
        <v>22.95</v>
      </c>
      <c r="AB24" s="5">
        <f t="shared" si="20"/>
        <v>4</v>
      </c>
      <c r="AD24" s="2" t="s">
        <v>15</v>
      </c>
      <c r="AE24" s="2">
        <f t="shared" si="21"/>
        <v>15</v>
      </c>
      <c r="AF24" s="18">
        <f t="shared" si="22"/>
        <v>1.1953879999999999</v>
      </c>
      <c r="AG24" s="18">
        <f t="shared" si="23"/>
        <v>8.1234749999999991</v>
      </c>
      <c r="AH24" s="18">
        <f t="shared" si="24"/>
        <v>2.9868649999999999</v>
      </c>
      <c r="AI24" s="18">
        <f t="shared" si="25"/>
        <v>62.839647999999997</v>
      </c>
      <c r="AJ24" s="2">
        <f t="shared" si="26"/>
        <v>22.95</v>
      </c>
      <c r="AK24" s="2">
        <f t="shared" si="27"/>
        <v>4</v>
      </c>
      <c r="AM24" s="7" t="s">
        <v>15</v>
      </c>
      <c r="AN24" s="2">
        <f t="shared" si="28"/>
        <v>15</v>
      </c>
      <c r="AO24" s="18">
        <f t="shared" si="29"/>
        <v>1.1953879999999999</v>
      </c>
      <c r="AP24" s="18">
        <f t="shared" si="30"/>
        <v>8.1234749999999991</v>
      </c>
      <c r="AQ24" s="18">
        <f t="shared" si="31"/>
        <v>2.9868649999999999</v>
      </c>
      <c r="AR24" s="18">
        <f t="shared" si="32"/>
        <v>62.839647999999997</v>
      </c>
      <c r="AS24" s="2">
        <f t="shared" si="33"/>
        <v>22.95</v>
      </c>
      <c r="AT24" s="5">
        <f t="shared" si="34"/>
        <v>4</v>
      </c>
      <c r="AV24" s="7" t="s">
        <v>15</v>
      </c>
      <c r="AW24" s="2">
        <f t="shared" si="35"/>
        <v>15</v>
      </c>
      <c r="AX24" s="18">
        <f t="shared" si="36"/>
        <v>1.1953879999999999</v>
      </c>
      <c r="AY24" s="18">
        <f t="shared" si="37"/>
        <v>8.1234749999999991</v>
      </c>
      <c r="AZ24" s="18">
        <f t="shared" si="38"/>
        <v>2.9868649999999999</v>
      </c>
      <c r="BA24" s="18">
        <f t="shared" si="39"/>
        <v>62.839647999999997</v>
      </c>
      <c r="BB24" s="2">
        <f t="shared" si="40"/>
        <v>22.95</v>
      </c>
      <c r="BC24" s="5">
        <f t="shared" si="41"/>
        <v>4</v>
      </c>
    </row>
    <row r="25" spans="3:55" x14ac:dyDescent="0.3">
      <c r="C25" s="2" t="s">
        <v>16</v>
      </c>
      <c r="D25" s="2">
        <f t="shared" si="0"/>
        <v>15</v>
      </c>
      <c r="E25" s="18">
        <f t="shared" si="1"/>
        <v>1.1953879999999999</v>
      </c>
      <c r="F25" s="18">
        <f t="shared" si="2"/>
        <v>8.1234749999999991</v>
      </c>
      <c r="G25" s="18">
        <f t="shared" si="3"/>
        <v>2.9868649999999999</v>
      </c>
      <c r="H25" s="18">
        <f t="shared" si="4"/>
        <v>62.839647999999997</v>
      </c>
      <c r="I25" s="2">
        <f t="shared" si="5"/>
        <v>22.95</v>
      </c>
      <c r="J25" s="2">
        <f t="shared" si="6"/>
        <v>4</v>
      </c>
      <c r="L25" s="7" t="s">
        <v>14</v>
      </c>
      <c r="M25" s="2">
        <f t="shared" si="7"/>
        <v>15</v>
      </c>
      <c r="N25" s="18">
        <f t="shared" si="8"/>
        <v>1.1953879999999999</v>
      </c>
      <c r="O25" s="18">
        <f t="shared" si="9"/>
        <v>8.1234749999999991</v>
      </c>
      <c r="P25" s="18">
        <f t="shared" si="10"/>
        <v>2.9868649999999999</v>
      </c>
      <c r="Q25" s="18">
        <f t="shared" si="11"/>
        <v>62.839647999999997</v>
      </c>
      <c r="R25" s="2">
        <f t="shared" si="12"/>
        <v>22.95</v>
      </c>
      <c r="S25" s="5">
        <f t="shared" si="13"/>
        <v>4</v>
      </c>
      <c r="U25" s="7" t="s">
        <v>14</v>
      </c>
      <c r="V25" s="2">
        <f t="shared" si="14"/>
        <v>15</v>
      </c>
      <c r="W25" s="18">
        <f t="shared" si="15"/>
        <v>1.1953879999999999</v>
      </c>
      <c r="X25" s="18">
        <f t="shared" si="16"/>
        <v>8.1234749999999991</v>
      </c>
      <c r="Y25" s="18">
        <f t="shared" si="17"/>
        <v>2.9868649999999999</v>
      </c>
      <c r="Z25" s="18">
        <f t="shared" si="18"/>
        <v>62.839647999999997</v>
      </c>
      <c r="AA25" s="2">
        <f t="shared" si="19"/>
        <v>22.95</v>
      </c>
      <c r="AB25" s="5">
        <f t="shared" si="20"/>
        <v>4</v>
      </c>
      <c r="AD25" s="2" t="s">
        <v>14</v>
      </c>
      <c r="AE25" s="2">
        <f t="shared" si="21"/>
        <v>15</v>
      </c>
      <c r="AF25" s="18">
        <f t="shared" si="22"/>
        <v>1.1953879999999999</v>
      </c>
      <c r="AG25" s="18">
        <f t="shared" si="23"/>
        <v>8.1234749999999991</v>
      </c>
      <c r="AH25" s="18">
        <f t="shared" si="24"/>
        <v>2.9868649999999999</v>
      </c>
      <c r="AI25" s="18">
        <f t="shared" si="25"/>
        <v>62.839647999999997</v>
      </c>
      <c r="AJ25" s="2">
        <f t="shared" si="26"/>
        <v>22.95</v>
      </c>
      <c r="AK25" s="2">
        <f t="shared" si="27"/>
        <v>4</v>
      </c>
      <c r="AM25" s="7" t="s">
        <v>14</v>
      </c>
      <c r="AN25" s="2">
        <f t="shared" si="28"/>
        <v>15</v>
      </c>
      <c r="AO25" s="18">
        <f t="shared" si="29"/>
        <v>1.1953879999999999</v>
      </c>
      <c r="AP25" s="18">
        <f t="shared" si="30"/>
        <v>8.1234749999999991</v>
      </c>
      <c r="AQ25" s="18">
        <f t="shared" si="31"/>
        <v>2.9868649999999999</v>
      </c>
      <c r="AR25" s="18">
        <f t="shared" si="32"/>
        <v>62.839647999999997</v>
      </c>
      <c r="AS25" s="2">
        <f t="shared" si="33"/>
        <v>22.95</v>
      </c>
      <c r="AT25" s="5">
        <f t="shared" si="34"/>
        <v>4</v>
      </c>
      <c r="AV25" s="7" t="s">
        <v>14</v>
      </c>
      <c r="AW25" s="2">
        <f t="shared" si="35"/>
        <v>15</v>
      </c>
      <c r="AX25" s="18">
        <f t="shared" si="36"/>
        <v>1.1953879999999999</v>
      </c>
      <c r="AY25" s="18">
        <f t="shared" si="37"/>
        <v>8.1234749999999991</v>
      </c>
      <c r="AZ25" s="18">
        <f t="shared" si="38"/>
        <v>2.9868649999999999</v>
      </c>
      <c r="BA25" s="18">
        <f t="shared" si="39"/>
        <v>62.839647999999997</v>
      </c>
      <c r="BB25" s="2">
        <f t="shared" si="40"/>
        <v>22.95</v>
      </c>
      <c r="BC25" s="5">
        <f t="shared" si="41"/>
        <v>4</v>
      </c>
    </row>
    <row r="26" spans="3:55" x14ac:dyDescent="0.3">
      <c r="C26" s="2" t="s">
        <v>14</v>
      </c>
      <c r="D26" s="2">
        <f t="shared" si="0"/>
        <v>15</v>
      </c>
      <c r="E26" s="18">
        <f t="shared" si="1"/>
        <v>1.1953879999999999</v>
      </c>
      <c r="F26" s="18">
        <f t="shared" si="2"/>
        <v>8.1234749999999991</v>
      </c>
      <c r="G26" s="18">
        <f t="shared" si="3"/>
        <v>2.9868649999999999</v>
      </c>
      <c r="H26" s="18">
        <f t="shared" si="4"/>
        <v>62.839647999999997</v>
      </c>
      <c r="I26" s="2">
        <f t="shared" si="5"/>
        <v>22.95</v>
      </c>
      <c r="J26" s="2">
        <f t="shared" si="6"/>
        <v>4</v>
      </c>
      <c r="L26" s="7" t="s">
        <v>16</v>
      </c>
      <c r="M26" s="2">
        <f t="shared" si="7"/>
        <v>15</v>
      </c>
      <c r="N26" s="18">
        <f t="shared" si="8"/>
        <v>1.1953879999999999</v>
      </c>
      <c r="O26" s="18">
        <f t="shared" si="9"/>
        <v>8.1234749999999991</v>
      </c>
      <c r="P26" s="18">
        <f t="shared" si="10"/>
        <v>2.9868649999999999</v>
      </c>
      <c r="Q26" s="18">
        <f t="shared" si="11"/>
        <v>62.839647999999997</v>
      </c>
      <c r="R26" s="2">
        <f t="shared" si="12"/>
        <v>22.95</v>
      </c>
      <c r="S26" s="5">
        <f t="shared" si="13"/>
        <v>4</v>
      </c>
      <c r="U26" s="7" t="s">
        <v>16</v>
      </c>
      <c r="V26" s="2">
        <f t="shared" si="14"/>
        <v>15</v>
      </c>
      <c r="W26" s="18">
        <f t="shared" si="15"/>
        <v>1.1953879999999999</v>
      </c>
      <c r="X26" s="18">
        <f t="shared" si="16"/>
        <v>8.1234749999999991</v>
      </c>
      <c r="Y26" s="18">
        <f t="shared" si="17"/>
        <v>2.9868649999999999</v>
      </c>
      <c r="Z26" s="18">
        <f t="shared" si="18"/>
        <v>62.839647999999997</v>
      </c>
      <c r="AA26" s="2">
        <f t="shared" si="19"/>
        <v>22.95</v>
      </c>
      <c r="AB26" s="5">
        <f t="shared" si="20"/>
        <v>4</v>
      </c>
      <c r="AD26" s="2" t="s">
        <v>16</v>
      </c>
      <c r="AE26" s="2">
        <f t="shared" si="21"/>
        <v>15</v>
      </c>
      <c r="AF26" s="18">
        <f t="shared" si="22"/>
        <v>1.1953879999999999</v>
      </c>
      <c r="AG26" s="18">
        <f t="shared" si="23"/>
        <v>8.1234749999999991</v>
      </c>
      <c r="AH26" s="18">
        <f t="shared" si="24"/>
        <v>2.9868649999999999</v>
      </c>
      <c r="AI26" s="18">
        <f t="shared" si="25"/>
        <v>62.839647999999997</v>
      </c>
      <c r="AJ26" s="2">
        <f t="shared" si="26"/>
        <v>22.95</v>
      </c>
      <c r="AK26" s="2">
        <f t="shared" si="27"/>
        <v>4</v>
      </c>
      <c r="AM26" s="7" t="s">
        <v>16</v>
      </c>
      <c r="AN26" s="2">
        <f t="shared" si="28"/>
        <v>15</v>
      </c>
      <c r="AO26" s="18">
        <f t="shared" si="29"/>
        <v>1.1953879999999999</v>
      </c>
      <c r="AP26" s="18">
        <f t="shared" si="30"/>
        <v>8.1234749999999991</v>
      </c>
      <c r="AQ26" s="18">
        <f t="shared" si="31"/>
        <v>2.9868649999999999</v>
      </c>
      <c r="AR26" s="18">
        <f t="shared" si="32"/>
        <v>62.839647999999997</v>
      </c>
      <c r="AS26" s="2">
        <f t="shared" si="33"/>
        <v>22.95</v>
      </c>
      <c r="AT26" s="5">
        <f t="shared" si="34"/>
        <v>4</v>
      </c>
      <c r="AV26" s="7" t="s">
        <v>16</v>
      </c>
      <c r="AW26" s="2">
        <f t="shared" si="35"/>
        <v>15</v>
      </c>
      <c r="AX26" s="18">
        <f t="shared" si="36"/>
        <v>1.1953879999999999</v>
      </c>
      <c r="AY26" s="18">
        <f t="shared" si="37"/>
        <v>8.1234749999999991</v>
      </c>
      <c r="AZ26" s="18">
        <f t="shared" si="38"/>
        <v>2.9868649999999999</v>
      </c>
      <c r="BA26" s="18">
        <f t="shared" si="39"/>
        <v>62.839647999999997</v>
      </c>
      <c r="BB26" s="2">
        <f t="shared" si="40"/>
        <v>22.95</v>
      </c>
      <c r="BC26" s="5">
        <f t="shared" si="41"/>
        <v>4</v>
      </c>
    </row>
    <row r="27" spans="3:55" x14ac:dyDescent="0.3">
      <c r="C27" s="2" t="s">
        <v>15</v>
      </c>
      <c r="D27" s="2">
        <f t="shared" si="0"/>
        <v>15</v>
      </c>
      <c r="E27" s="18">
        <f t="shared" si="1"/>
        <v>1.1953879999999999</v>
      </c>
      <c r="F27" s="18">
        <f t="shared" si="2"/>
        <v>8.1234749999999991</v>
      </c>
      <c r="G27" s="18">
        <f t="shared" si="3"/>
        <v>2.9868649999999999</v>
      </c>
      <c r="H27" s="18">
        <f t="shared" si="4"/>
        <v>62.839647999999997</v>
      </c>
      <c r="I27" s="2">
        <f t="shared" si="5"/>
        <v>22.95</v>
      </c>
      <c r="J27" s="2">
        <f t="shared" si="6"/>
        <v>4</v>
      </c>
      <c r="L27" s="7" t="s">
        <v>14</v>
      </c>
      <c r="M27" s="2">
        <f t="shared" si="7"/>
        <v>15</v>
      </c>
      <c r="N27" s="18">
        <f t="shared" si="8"/>
        <v>1.1953879999999999</v>
      </c>
      <c r="O27" s="18">
        <f t="shared" si="9"/>
        <v>8.1234749999999991</v>
      </c>
      <c r="P27" s="18">
        <f t="shared" si="10"/>
        <v>2.9868649999999999</v>
      </c>
      <c r="Q27" s="18">
        <f t="shared" si="11"/>
        <v>62.839647999999997</v>
      </c>
      <c r="R27" s="2">
        <f t="shared" si="12"/>
        <v>22.95</v>
      </c>
      <c r="S27" s="5">
        <f t="shared" si="13"/>
        <v>4</v>
      </c>
      <c r="U27" s="7" t="s">
        <v>14</v>
      </c>
      <c r="V27" s="2">
        <f t="shared" si="14"/>
        <v>15</v>
      </c>
      <c r="W27" s="18">
        <f t="shared" si="15"/>
        <v>1.1953879999999999</v>
      </c>
      <c r="X27" s="18">
        <f t="shared" si="16"/>
        <v>8.1234749999999991</v>
      </c>
      <c r="Y27" s="18">
        <f t="shared" si="17"/>
        <v>2.9868649999999999</v>
      </c>
      <c r="Z27" s="18">
        <f t="shared" si="18"/>
        <v>62.839647999999997</v>
      </c>
      <c r="AA27" s="2">
        <f t="shared" si="19"/>
        <v>22.95</v>
      </c>
      <c r="AB27" s="5">
        <f t="shared" si="20"/>
        <v>4</v>
      </c>
      <c r="AD27" s="2" t="s">
        <v>14</v>
      </c>
      <c r="AE27" s="2">
        <f t="shared" si="21"/>
        <v>15</v>
      </c>
      <c r="AF27" s="18">
        <f t="shared" si="22"/>
        <v>1.1953879999999999</v>
      </c>
      <c r="AG27" s="18">
        <f t="shared" si="23"/>
        <v>8.1234749999999991</v>
      </c>
      <c r="AH27" s="18">
        <f t="shared" si="24"/>
        <v>2.9868649999999999</v>
      </c>
      <c r="AI27" s="18">
        <f t="shared" si="25"/>
        <v>62.839647999999997</v>
      </c>
      <c r="AJ27" s="2">
        <f t="shared" si="26"/>
        <v>22.95</v>
      </c>
      <c r="AK27" s="2">
        <f t="shared" si="27"/>
        <v>4</v>
      </c>
      <c r="AM27" s="7" t="s">
        <v>14</v>
      </c>
      <c r="AN27" s="2">
        <f t="shared" si="28"/>
        <v>15</v>
      </c>
      <c r="AO27" s="18">
        <f t="shared" si="29"/>
        <v>1.1953879999999999</v>
      </c>
      <c r="AP27" s="18">
        <f t="shared" si="30"/>
        <v>8.1234749999999991</v>
      </c>
      <c r="AQ27" s="18">
        <f t="shared" si="31"/>
        <v>2.9868649999999999</v>
      </c>
      <c r="AR27" s="18">
        <f t="shared" si="32"/>
        <v>62.839647999999997</v>
      </c>
      <c r="AS27" s="2">
        <f t="shared" si="33"/>
        <v>22.95</v>
      </c>
      <c r="AT27" s="5">
        <f t="shared" si="34"/>
        <v>4</v>
      </c>
      <c r="AV27" s="7" t="s">
        <v>14</v>
      </c>
      <c r="AW27" s="2">
        <f t="shared" si="35"/>
        <v>15</v>
      </c>
      <c r="AX27" s="18">
        <f t="shared" si="36"/>
        <v>1.1953879999999999</v>
      </c>
      <c r="AY27" s="18">
        <f t="shared" si="37"/>
        <v>8.1234749999999991</v>
      </c>
      <c r="AZ27" s="18">
        <f t="shared" si="38"/>
        <v>2.9868649999999999</v>
      </c>
      <c r="BA27" s="18">
        <f t="shared" si="39"/>
        <v>62.839647999999997</v>
      </c>
      <c r="BB27" s="2">
        <f t="shared" si="40"/>
        <v>22.95</v>
      </c>
      <c r="BC27" s="5">
        <f t="shared" si="41"/>
        <v>4</v>
      </c>
    </row>
    <row r="28" spans="3:55" x14ac:dyDescent="0.3">
      <c r="C28" s="2" t="s">
        <v>14</v>
      </c>
      <c r="D28" s="2">
        <f t="shared" si="0"/>
        <v>15</v>
      </c>
      <c r="E28" s="18">
        <f t="shared" si="1"/>
        <v>1.1953879999999999</v>
      </c>
      <c r="F28" s="18">
        <f t="shared" si="2"/>
        <v>8.1234749999999991</v>
      </c>
      <c r="G28" s="18">
        <f t="shared" si="3"/>
        <v>2.9868649999999999</v>
      </c>
      <c r="H28" s="18">
        <f t="shared" si="4"/>
        <v>62.839647999999997</v>
      </c>
      <c r="I28" s="2">
        <f t="shared" si="5"/>
        <v>22.95</v>
      </c>
      <c r="J28" s="2">
        <f t="shared" si="6"/>
        <v>4</v>
      </c>
      <c r="L28" s="7" t="s">
        <v>15</v>
      </c>
      <c r="M28" s="2">
        <f t="shared" si="7"/>
        <v>15</v>
      </c>
      <c r="N28" s="18">
        <f t="shared" si="8"/>
        <v>1.1953879999999999</v>
      </c>
      <c r="O28" s="18">
        <f t="shared" si="9"/>
        <v>8.1234749999999991</v>
      </c>
      <c r="P28" s="18">
        <f t="shared" si="10"/>
        <v>2.9868649999999999</v>
      </c>
      <c r="Q28" s="18">
        <f t="shared" si="11"/>
        <v>62.839647999999997</v>
      </c>
      <c r="R28" s="2">
        <f t="shared" si="12"/>
        <v>22.95</v>
      </c>
      <c r="S28" s="5">
        <f t="shared" si="13"/>
        <v>4</v>
      </c>
      <c r="U28" s="7" t="s">
        <v>15</v>
      </c>
      <c r="V28" s="2">
        <f t="shared" si="14"/>
        <v>15</v>
      </c>
      <c r="W28" s="18">
        <f t="shared" si="15"/>
        <v>1.1953879999999999</v>
      </c>
      <c r="X28" s="18">
        <f t="shared" si="16"/>
        <v>8.1234749999999991</v>
      </c>
      <c r="Y28" s="18">
        <f t="shared" si="17"/>
        <v>2.9868649999999999</v>
      </c>
      <c r="Z28" s="18">
        <f t="shared" si="18"/>
        <v>62.839647999999997</v>
      </c>
      <c r="AA28" s="2">
        <f t="shared" si="19"/>
        <v>22.95</v>
      </c>
      <c r="AB28" s="5">
        <f t="shared" si="20"/>
        <v>4</v>
      </c>
      <c r="AD28" s="7" t="s">
        <v>15</v>
      </c>
      <c r="AE28" s="2">
        <f t="shared" si="21"/>
        <v>15</v>
      </c>
      <c r="AF28" s="18">
        <f t="shared" si="22"/>
        <v>1.1953879999999999</v>
      </c>
      <c r="AG28" s="18">
        <f t="shared" si="23"/>
        <v>8.1234749999999991</v>
      </c>
      <c r="AH28" s="18">
        <f t="shared" si="24"/>
        <v>2.9868649999999999</v>
      </c>
      <c r="AI28" s="18">
        <f t="shared" si="25"/>
        <v>62.839647999999997</v>
      </c>
      <c r="AJ28" s="2">
        <f t="shared" si="26"/>
        <v>22.95</v>
      </c>
      <c r="AK28" s="5">
        <f t="shared" si="27"/>
        <v>4</v>
      </c>
      <c r="AM28" s="7" t="s">
        <v>15</v>
      </c>
      <c r="AN28" s="2">
        <f t="shared" si="28"/>
        <v>15</v>
      </c>
      <c r="AO28" s="18">
        <f t="shared" si="29"/>
        <v>1.1953879999999999</v>
      </c>
      <c r="AP28" s="18">
        <f t="shared" si="30"/>
        <v>8.1234749999999991</v>
      </c>
      <c r="AQ28" s="18">
        <f t="shared" si="31"/>
        <v>2.9868649999999999</v>
      </c>
      <c r="AR28" s="18">
        <f t="shared" si="32"/>
        <v>62.839647999999997</v>
      </c>
      <c r="AS28" s="2">
        <f t="shared" si="33"/>
        <v>22.95</v>
      </c>
      <c r="AT28" s="5">
        <f t="shared" si="34"/>
        <v>4</v>
      </c>
      <c r="AV28" s="7" t="s">
        <v>15</v>
      </c>
      <c r="AW28" s="2">
        <f t="shared" si="35"/>
        <v>15</v>
      </c>
      <c r="AX28" s="18">
        <f t="shared" si="36"/>
        <v>1.1953879999999999</v>
      </c>
      <c r="AY28" s="18">
        <f t="shared" si="37"/>
        <v>8.1234749999999991</v>
      </c>
      <c r="AZ28" s="18">
        <f t="shared" si="38"/>
        <v>2.9868649999999999</v>
      </c>
      <c r="BA28" s="18">
        <f t="shared" si="39"/>
        <v>62.839647999999997</v>
      </c>
      <c r="BB28" s="2">
        <f t="shared" si="40"/>
        <v>22.95</v>
      </c>
      <c r="BC28" s="5">
        <f t="shared" si="41"/>
        <v>4</v>
      </c>
    </row>
    <row r="29" spans="3:55" x14ac:dyDescent="0.3">
      <c r="C29" s="2" t="s">
        <v>16</v>
      </c>
      <c r="D29" s="2">
        <f t="shared" si="0"/>
        <v>15</v>
      </c>
      <c r="E29" s="18">
        <f t="shared" si="1"/>
        <v>1.1953879999999999</v>
      </c>
      <c r="F29" s="18">
        <f t="shared" si="2"/>
        <v>8.1234749999999991</v>
      </c>
      <c r="G29" s="18">
        <f t="shared" si="3"/>
        <v>2.9868649999999999</v>
      </c>
      <c r="H29" s="18">
        <f t="shared" si="4"/>
        <v>62.839647999999997</v>
      </c>
      <c r="I29" s="2">
        <f t="shared" si="5"/>
        <v>22.95</v>
      </c>
      <c r="J29" s="2">
        <f t="shared" si="6"/>
        <v>4</v>
      </c>
      <c r="L29" s="7" t="s">
        <v>14</v>
      </c>
      <c r="M29" s="2">
        <f t="shared" si="7"/>
        <v>15</v>
      </c>
      <c r="N29" s="18">
        <f t="shared" si="8"/>
        <v>1.1953879999999999</v>
      </c>
      <c r="O29" s="18">
        <f t="shared" si="9"/>
        <v>8.1234749999999991</v>
      </c>
      <c r="P29" s="18">
        <f t="shared" si="10"/>
        <v>2.9868649999999999</v>
      </c>
      <c r="Q29" s="18">
        <f t="shared" si="11"/>
        <v>62.839647999999997</v>
      </c>
      <c r="R29" s="2">
        <f t="shared" si="12"/>
        <v>22.95</v>
      </c>
      <c r="S29" s="5">
        <f t="shared" si="13"/>
        <v>4</v>
      </c>
      <c r="U29" s="7" t="s">
        <v>14</v>
      </c>
      <c r="V29" s="2">
        <f t="shared" si="14"/>
        <v>15</v>
      </c>
      <c r="W29" s="18">
        <f t="shared" si="15"/>
        <v>1.1953879999999999</v>
      </c>
      <c r="X29" s="18">
        <f t="shared" si="16"/>
        <v>8.1234749999999991</v>
      </c>
      <c r="Y29" s="18">
        <f t="shared" si="17"/>
        <v>2.9868649999999999</v>
      </c>
      <c r="Z29" s="18">
        <f t="shared" si="18"/>
        <v>62.839647999999997</v>
      </c>
      <c r="AA29" s="2">
        <f t="shared" si="19"/>
        <v>22.95</v>
      </c>
      <c r="AB29" s="5">
        <f t="shared" si="20"/>
        <v>4</v>
      </c>
      <c r="AD29" s="7" t="s">
        <v>14</v>
      </c>
      <c r="AE29" s="2">
        <f t="shared" si="21"/>
        <v>15</v>
      </c>
      <c r="AF29" s="18">
        <f t="shared" si="22"/>
        <v>1.1953879999999999</v>
      </c>
      <c r="AG29" s="18">
        <f t="shared" si="23"/>
        <v>8.1234749999999991</v>
      </c>
      <c r="AH29" s="18">
        <f t="shared" si="24"/>
        <v>2.9868649999999999</v>
      </c>
      <c r="AI29" s="18">
        <f t="shared" si="25"/>
        <v>62.839647999999997</v>
      </c>
      <c r="AJ29" s="2">
        <f t="shared" si="26"/>
        <v>22.95</v>
      </c>
      <c r="AK29" s="5">
        <f t="shared" si="27"/>
        <v>4</v>
      </c>
      <c r="AM29" s="7" t="s">
        <v>14</v>
      </c>
      <c r="AN29" s="2">
        <f t="shared" si="28"/>
        <v>15</v>
      </c>
      <c r="AO29" s="18">
        <f t="shared" si="29"/>
        <v>1.1953879999999999</v>
      </c>
      <c r="AP29" s="18">
        <f t="shared" si="30"/>
        <v>8.1234749999999991</v>
      </c>
      <c r="AQ29" s="18">
        <f t="shared" si="31"/>
        <v>2.9868649999999999</v>
      </c>
      <c r="AR29" s="18">
        <f t="shared" si="32"/>
        <v>62.839647999999997</v>
      </c>
      <c r="AS29" s="2">
        <f t="shared" si="33"/>
        <v>22.95</v>
      </c>
      <c r="AT29" s="5">
        <f t="shared" si="34"/>
        <v>4</v>
      </c>
      <c r="AV29" s="7" t="s">
        <v>14</v>
      </c>
      <c r="AW29" s="2">
        <f t="shared" si="35"/>
        <v>15</v>
      </c>
      <c r="AX29" s="18">
        <f t="shared" si="36"/>
        <v>1.1953879999999999</v>
      </c>
      <c r="AY29" s="18">
        <f t="shared" si="37"/>
        <v>8.1234749999999991</v>
      </c>
      <c r="AZ29" s="18">
        <f t="shared" si="38"/>
        <v>2.9868649999999999</v>
      </c>
      <c r="BA29" s="18">
        <f t="shared" si="39"/>
        <v>62.839647999999997</v>
      </c>
      <c r="BB29" s="2">
        <f t="shared" si="40"/>
        <v>22.95</v>
      </c>
      <c r="BC29" s="5">
        <f t="shared" si="41"/>
        <v>4</v>
      </c>
    </row>
    <row r="30" spans="3:55" x14ac:dyDescent="0.3">
      <c r="C30" s="2" t="s">
        <v>14</v>
      </c>
      <c r="D30" s="2">
        <f t="shared" si="0"/>
        <v>15</v>
      </c>
      <c r="E30" s="18">
        <f t="shared" si="1"/>
        <v>1.1953879999999999</v>
      </c>
      <c r="F30" s="18">
        <f t="shared" si="2"/>
        <v>8.1234749999999991</v>
      </c>
      <c r="G30" s="18">
        <f t="shared" si="3"/>
        <v>2.9868649999999999</v>
      </c>
      <c r="H30" s="18">
        <f t="shared" si="4"/>
        <v>62.839647999999997</v>
      </c>
      <c r="I30" s="2">
        <f t="shared" si="5"/>
        <v>22.95</v>
      </c>
      <c r="J30" s="2">
        <f t="shared" si="6"/>
        <v>4</v>
      </c>
      <c r="L30" s="7" t="s">
        <v>16</v>
      </c>
      <c r="M30" s="2">
        <f t="shared" si="7"/>
        <v>15</v>
      </c>
      <c r="N30" s="18">
        <f t="shared" si="8"/>
        <v>1.1953879999999999</v>
      </c>
      <c r="O30" s="18">
        <f t="shared" si="9"/>
        <v>8.1234749999999991</v>
      </c>
      <c r="P30" s="18">
        <f t="shared" si="10"/>
        <v>2.9868649999999999</v>
      </c>
      <c r="Q30" s="18">
        <f t="shared" si="11"/>
        <v>62.839647999999997</v>
      </c>
      <c r="R30" s="2">
        <f t="shared" si="12"/>
        <v>22.95</v>
      </c>
      <c r="S30" s="5">
        <f t="shared" si="13"/>
        <v>4</v>
      </c>
      <c r="U30" s="7" t="s">
        <v>16</v>
      </c>
      <c r="V30" s="2">
        <f t="shared" si="14"/>
        <v>15</v>
      </c>
      <c r="W30" s="18">
        <f t="shared" si="15"/>
        <v>1.1953879999999999</v>
      </c>
      <c r="X30" s="18">
        <f t="shared" si="16"/>
        <v>8.1234749999999991</v>
      </c>
      <c r="Y30" s="18">
        <f t="shared" si="17"/>
        <v>2.9868649999999999</v>
      </c>
      <c r="Z30" s="18">
        <f t="shared" si="18"/>
        <v>62.839647999999997</v>
      </c>
      <c r="AA30" s="2">
        <f t="shared" si="19"/>
        <v>22.95</v>
      </c>
      <c r="AB30" s="5">
        <f t="shared" si="20"/>
        <v>4</v>
      </c>
      <c r="AD30" s="7" t="s">
        <v>16</v>
      </c>
      <c r="AE30" s="2">
        <f t="shared" si="21"/>
        <v>15</v>
      </c>
      <c r="AF30" s="18">
        <f t="shared" si="22"/>
        <v>1.1953879999999999</v>
      </c>
      <c r="AG30" s="18">
        <f t="shared" si="23"/>
        <v>8.1234749999999991</v>
      </c>
      <c r="AH30" s="18">
        <f t="shared" si="24"/>
        <v>2.9868649999999999</v>
      </c>
      <c r="AI30" s="18">
        <f t="shared" si="25"/>
        <v>62.839647999999997</v>
      </c>
      <c r="AJ30" s="2">
        <f t="shared" si="26"/>
        <v>22.95</v>
      </c>
      <c r="AK30" s="5">
        <f t="shared" si="27"/>
        <v>4</v>
      </c>
      <c r="AM30" s="7" t="s">
        <v>16</v>
      </c>
      <c r="AN30" s="2">
        <f t="shared" si="28"/>
        <v>15</v>
      </c>
      <c r="AO30" s="18">
        <f t="shared" si="29"/>
        <v>1.1953879999999999</v>
      </c>
      <c r="AP30" s="18">
        <f t="shared" si="30"/>
        <v>8.1234749999999991</v>
      </c>
      <c r="AQ30" s="18">
        <f t="shared" si="31"/>
        <v>2.9868649999999999</v>
      </c>
      <c r="AR30" s="18">
        <f t="shared" si="32"/>
        <v>62.839647999999997</v>
      </c>
      <c r="AS30" s="2">
        <f t="shared" si="33"/>
        <v>22.95</v>
      </c>
      <c r="AT30" s="5">
        <f t="shared" si="34"/>
        <v>4</v>
      </c>
      <c r="AV30" s="7" t="s">
        <v>13</v>
      </c>
      <c r="AW30" s="2">
        <f t="shared" si="35"/>
        <v>15</v>
      </c>
      <c r="AX30" s="18">
        <f t="shared" si="36"/>
        <v>1.1953879999999999</v>
      </c>
      <c r="AY30" s="18">
        <f t="shared" si="37"/>
        <v>8.1234749999999991</v>
      </c>
      <c r="AZ30" s="18">
        <f t="shared" si="38"/>
        <v>2.9868649999999999</v>
      </c>
      <c r="BA30" s="18">
        <f t="shared" si="39"/>
        <v>62.839647999999997</v>
      </c>
      <c r="BB30" s="2">
        <f t="shared" si="40"/>
        <v>22.95</v>
      </c>
      <c r="BC30" s="5">
        <f t="shared" si="41"/>
        <v>4</v>
      </c>
    </row>
    <row r="31" spans="3:55" x14ac:dyDescent="0.3">
      <c r="C31" s="2" t="s">
        <v>15</v>
      </c>
      <c r="D31" s="2">
        <f t="shared" si="0"/>
        <v>15</v>
      </c>
      <c r="E31" s="18">
        <f t="shared" si="1"/>
        <v>1.1953879999999999</v>
      </c>
      <c r="F31" s="18">
        <f t="shared" si="2"/>
        <v>8.1234749999999991</v>
      </c>
      <c r="G31" s="18">
        <f t="shared" si="3"/>
        <v>2.9868649999999999</v>
      </c>
      <c r="H31" s="18">
        <f t="shared" si="4"/>
        <v>62.839647999999997</v>
      </c>
      <c r="I31" s="2">
        <f t="shared" si="5"/>
        <v>22.95</v>
      </c>
      <c r="J31" s="2">
        <f t="shared" si="6"/>
        <v>4</v>
      </c>
      <c r="L31" s="7" t="s">
        <v>14</v>
      </c>
      <c r="M31" s="2">
        <f t="shared" si="7"/>
        <v>15</v>
      </c>
      <c r="N31" s="18">
        <f t="shared" si="8"/>
        <v>1.1953879999999999</v>
      </c>
      <c r="O31" s="18">
        <f t="shared" si="9"/>
        <v>8.1234749999999991</v>
      </c>
      <c r="P31" s="18">
        <f t="shared" si="10"/>
        <v>2.9868649999999999</v>
      </c>
      <c r="Q31" s="18">
        <f t="shared" si="11"/>
        <v>62.839647999999997</v>
      </c>
      <c r="R31" s="2">
        <f t="shared" si="12"/>
        <v>22.95</v>
      </c>
      <c r="S31" s="5">
        <f t="shared" si="13"/>
        <v>4</v>
      </c>
      <c r="U31" s="7" t="s">
        <v>21</v>
      </c>
      <c r="V31" s="2">
        <f t="shared" si="14"/>
        <v>14</v>
      </c>
      <c r="W31" s="18">
        <f t="shared" si="15"/>
        <v>1.1953879999999999</v>
      </c>
      <c r="X31" s="18">
        <f t="shared" si="16"/>
        <v>8.1234749999999991</v>
      </c>
      <c r="Y31" s="18">
        <f t="shared" si="17"/>
        <v>2.9868649999999999</v>
      </c>
      <c r="Z31" s="18">
        <f t="shared" si="18"/>
        <v>62.839647999999997</v>
      </c>
      <c r="AA31" s="2">
        <f t="shared" si="19"/>
        <v>22.95</v>
      </c>
      <c r="AB31" s="5">
        <f t="shared" si="20"/>
        <v>4</v>
      </c>
      <c r="AD31" s="7" t="s">
        <v>14</v>
      </c>
      <c r="AE31" s="2">
        <f t="shared" si="21"/>
        <v>15</v>
      </c>
      <c r="AF31" s="18">
        <f t="shared" si="22"/>
        <v>1.1953879999999999</v>
      </c>
      <c r="AG31" s="18">
        <f t="shared" si="23"/>
        <v>8.1234749999999991</v>
      </c>
      <c r="AH31" s="18">
        <f t="shared" si="24"/>
        <v>2.9868649999999999</v>
      </c>
      <c r="AI31" s="18">
        <f t="shared" si="25"/>
        <v>62.839647999999997</v>
      </c>
      <c r="AJ31" s="2">
        <f t="shared" si="26"/>
        <v>22.95</v>
      </c>
      <c r="AK31" s="5">
        <f t="shared" si="27"/>
        <v>4</v>
      </c>
      <c r="AM31" s="7" t="s">
        <v>14</v>
      </c>
      <c r="AN31" s="2">
        <f t="shared" si="28"/>
        <v>15</v>
      </c>
      <c r="AO31" s="18">
        <f t="shared" si="29"/>
        <v>1.1953879999999999</v>
      </c>
      <c r="AP31" s="18">
        <f t="shared" si="30"/>
        <v>8.1234749999999991</v>
      </c>
      <c r="AQ31" s="18">
        <f t="shared" si="31"/>
        <v>2.9868649999999999</v>
      </c>
      <c r="AR31" s="18">
        <f t="shared" si="32"/>
        <v>62.839647999999997</v>
      </c>
      <c r="AS31" s="2">
        <f t="shared" si="33"/>
        <v>22.95</v>
      </c>
      <c r="AT31" s="5">
        <f t="shared" si="34"/>
        <v>4</v>
      </c>
      <c r="AV31" s="7" t="s">
        <v>12</v>
      </c>
      <c r="AW31" s="2">
        <f t="shared" si="35"/>
        <v>15</v>
      </c>
      <c r="AX31" s="18">
        <f t="shared" si="36"/>
        <v>1.1953879999999999</v>
      </c>
      <c r="AY31" s="18">
        <f t="shared" si="37"/>
        <v>8.1234749999999991</v>
      </c>
      <c r="AZ31" s="18">
        <f t="shared" si="38"/>
        <v>2.9868649999999999</v>
      </c>
      <c r="BA31" s="18">
        <f t="shared" si="39"/>
        <v>62.839647999999997</v>
      </c>
      <c r="BB31" s="2">
        <f t="shared" si="40"/>
        <v>22.95</v>
      </c>
      <c r="BC31" s="5">
        <f t="shared" si="41"/>
        <v>4</v>
      </c>
    </row>
    <row r="32" spans="3:55" x14ac:dyDescent="0.3">
      <c r="C32" s="2" t="s">
        <v>14</v>
      </c>
      <c r="D32" s="2">
        <f t="shared" si="0"/>
        <v>15</v>
      </c>
      <c r="E32" s="18">
        <f t="shared" si="1"/>
        <v>1.1953879999999999</v>
      </c>
      <c r="F32" s="18">
        <f t="shared" si="2"/>
        <v>8.1234749999999991</v>
      </c>
      <c r="G32" s="18">
        <f t="shared" si="3"/>
        <v>2.9868649999999999</v>
      </c>
      <c r="H32" s="18">
        <f t="shared" si="4"/>
        <v>62.839647999999997</v>
      </c>
      <c r="I32" s="2">
        <f t="shared" si="5"/>
        <v>22.95</v>
      </c>
      <c r="J32" s="2">
        <f t="shared" si="6"/>
        <v>4</v>
      </c>
      <c r="L32" s="11" t="s">
        <v>20</v>
      </c>
      <c r="M32" s="12">
        <f t="shared" si="7"/>
        <v>8.8000000000000007</v>
      </c>
      <c r="N32" s="39">
        <f t="shared" si="8"/>
        <v>1.1953879999999999</v>
      </c>
      <c r="O32" s="39">
        <f t="shared" si="9"/>
        <v>8.1234749999999991</v>
      </c>
      <c r="P32" s="39">
        <f t="shared" si="10"/>
        <v>2.9868649999999999</v>
      </c>
      <c r="Q32" s="39">
        <f t="shared" si="11"/>
        <v>62.839647999999997</v>
      </c>
      <c r="R32" s="12">
        <f t="shared" si="12"/>
        <v>22.95</v>
      </c>
      <c r="S32" s="13">
        <f t="shared" si="13"/>
        <v>4</v>
      </c>
      <c r="U32" s="11" t="s">
        <v>22</v>
      </c>
      <c r="V32" s="12">
        <f t="shared" si="14"/>
        <v>10</v>
      </c>
      <c r="W32" s="39">
        <f t="shared" si="15"/>
        <v>1.1953879999999999</v>
      </c>
      <c r="X32" s="39">
        <f t="shared" si="16"/>
        <v>8.1234749999999991</v>
      </c>
      <c r="Y32" s="39">
        <f t="shared" si="17"/>
        <v>2.9868649999999999</v>
      </c>
      <c r="Z32" s="39">
        <f t="shared" si="18"/>
        <v>62.839647999999997</v>
      </c>
      <c r="AA32" s="12">
        <f t="shared" si="19"/>
        <v>22.95</v>
      </c>
      <c r="AB32" s="13">
        <f t="shared" si="20"/>
        <v>4</v>
      </c>
      <c r="AD32" s="11" t="s">
        <v>20</v>
      </c>
      <c r="AE32" s="12">
        <f t="shared" si="21"/>
        <v>8.8000000000000007</v>
      </c>
      <c r="AF32" s="39">
        <f t="shared" si="22"/>
        <v>1.1953879999999999</v>
      </c>
      <c r="AG32" s="39">
        <f t="shared" si="23"/>
        <v>8.1234749999999991</v>
      </c>
      <c r="AH32" s="39">
        <f t="shared" si="24"/>
        <v>2.9868649999999999</v>
      </c>
      <c r="AI32" s="39">
        <f t="shared" si="25"/>
        <v>62.839647999999997</v>
      </c>
      <c r="AJ32" s="12">
        <f t="shared" si="26"/>
        <v>22.95</v>
      </c>
      <c r="AK32" s="13">
        <f t="shared" si="27"/>
        <v>4</v>
      </c>
      <c r="AM32" s="11" t="s">
        <v>20</v>
      </c>
      <c r="AN32" s="12">
        <f t="shared" si="28"/>
        <v>8.8000000000000007</v>
      </c>
      <c r="AO32" s="39">
        <f t="shared" si="29"/>
        <v>1.1953879999999999</v>
      </c>
      <c r="AP32" s="39">
        <f t="shared" si="30"/>
        <v>8.1234749999999991</v>
      </c>
      <c r="AQ32" s="39">
        <f t="shared" si="31"/>
        <v>2.9868649999999999</v>
      </c>
      <c r="AR32" s="39">
        <f t="shared" si="32"/>
        <v>62.839647999999997</v>
      </c>
      <c r="AS32" s="12">
        <f t="shared" si="33"/>
        <v>22.95</v>
      </c>
      <c r="AT32" s="13">
        <f t="shared" si="34"/>
        <v>4</v>
      </c>
      <c r="AV32" s="7" t="s">
        <v>11</v>
      </c>
      <c r="AW32" s="2">
        <f t="shared" si="35"/>
        <v>15</v>
      </c>
      <c r="AX32" s="18">
        <f t="shared" si="36"/>
        <v>1.1953879999999999</v>
      </c>
      <c r="AY32" s="18">
        <f t="shared" si="37"/>
        <v>8.1234749999999991</v>
      </c>
      <c r="AZ32" s="18">
        <f t="shared" si="38"/>
        <v>2.9868649999999999</v>
      </c>
      <c r="BA32" s="18">
        <f t="shared" si="39"/>
        <v>62.839647999999997</v>
      </c>
      <c r="BB32" s="2">
        <f t="shared" si="40"/>
        <v>22.95</v>
      </c>
      <c r="BC32" s="5">
        <f t="shared" si="41"/>
        <v>4</v>
      </c>
    </row>
    <row r="33" spans="3:55" x14ac:dyDescent="0.3">
      <c r="C33" s="2" t="s">
        <v>16</v>
      </c>
      <c r="D33" s="2">
        <f t="shared" si="0"/>
        <v>15</v>
      </c>
      <c r="E33" s="18">
        <f t="shared" si="1"/>
        <v>1.1953879999999999</v>
      </c>
      <c r="F33" s="18">
        <f t="shared" si="2"/>
        <v>8.1234749999999991</v>
      </c>
      <c r="G33" s="18">
        <f t="shared" si="3"/>
        <v>2.9868649999999999</v>
      </c>
      <c r="H33" s="18">
        <f t="shared" si="4"/>
        <v>62.839647999999997</v>
      </c>
      <c r="I33" s="2">
        <f t="shared" si="5"/>
        <v>22.95</v>
      </c>
      <c r="J33" s="2">
        <f t="shared" si="6"/>
        <v>4</v>
      </c>
      <c r="AV33" s="7" t="s">
        <v>10</v>
      </c>
      <c r="AW33" s="2">
        <f t="shared" si="35"/>
        <v>15</v>
      </c>
      <c r="AX33" s="18">
        <f t="shared" si="36"/>
        <v>1.1953879999999999</v>
      </c>
      <c r="AY33" s="18">
        <f t="shared" si="37"/>
        <v>8.1234749999999991</v>
      </c>
      <c r="AZ33" s="18">
        <f t="shared" si="38"/>
        <v>2.9868649999999999</v>
      </c>
      <c r="BA33" s="18">
        <f t="shared" si="39"/>
        <v>62.839647999999997</v>
      </c>
      <c r="BB33" s="2">
        <f t="shared" si="40"/>
        <v>22.95</v>
      </c>
      <c r="BC33" s="5">
        <f t="shared" si="41"/>
        <v>4</v>
      </c>
    </row>
    <row r="34" spans="3:55" x14ac:dyDescent="0.3">
      <c r="C34" s="2" t="s">
        <v>16</v>
      </c>
      <c r="D34" s="2">
        <f t="shared" si="0"/>
        <v>15</v>
      </c>
      <c r="E34" s="18">
        <f t="shared" si="1"/>
        <v>1.1953879999999999</v>
      </c>
      <c r="F34" s="18">
        <f t="shared" si="2"/>
        <v>8.1234749999999991</v>
      </c>
      <c r="G34" s="18">
        <f t="shared" si="3"/>
        <v>2.9868649999999999</v>
      </c>
      <c r="H34" s="18">
        <f t="shared" si="4"/>
        <v>62.839647999999997</v>
      </c>
      <c r="I34" s="2">
        <f t="shared" si="5"/>
        <v>22.95</v>
      </c>
      <c r="J34" s="2">
        <f t="shared" si="6"/>
        <v>4</v>
      </c>
      <c r="AV34" s="7" t="s">
        <v>9</v>
      </c>
      <c r="AW34" s="2">
        <f t="shared" si="35"/>
        <v>15</v>
      </c>
      <c r="AX34" s="18">
        <f t="shared" si="36"/>
        <v>1.1953879999999999</v>
      </c>
      <c r="AY34" s="18">
        <f t="shared" si="37"/>
        <v>8.1234749999999991</v>
      </c>
      <c r="AZ34" s="18">
        <f t="shared" si="38"/>
        <v>2.9868649999999999</v>
      </c>
      <c r="BA34" s="18">
        <f t="shared" si="39"/>
        <v>62.839647999999997</v>
      </c>
      <c r="BB34" s="2">
        <f t="shared" si="40"/>
        <v>22.95</v>
      </c>
      <c r="BC34" s="5">
        <f t="shared" si="41"/>
        <v>4</v>
      </c>
    </row>
    <row r="35" spans="3:55" x14ac:dyDescent="0.3">
      <c r="C35" s="2" t="s">
        <v>20</v>
      </c>
      <c r="D35" s="2">
        <f t="shared" si="0"/>
        <v>8.8000000000000007</v>
      </c>
      <c r="E35" s="18">
        <f t="shared" si="1"/>
        <v>1.1953879999999999</v>
      </c>
      <c r="F35" s="18">
        <f t="shared" si="2"/>
        <v>8.1234749999999991</v>
      </c>
      <c r="G35" s="18">
        <f t="shared" si="3"/>
        <v>2.9868649999999999</v>
      </c>
      <c r="H35" s="18">
        <f t="shared" si="4"/>
        <v>62.839647999999997</v>
      </c>
      <c r="I35" s="2">
        <f t="shared" si="5"/>
        <v>22.95</v>
      </c>
      <c r="J35" s="2">
        <f t="shared" si="6"/>
        <v>4</v>
      </c>
      <c r="AV35" s="11" t="s">
        <v>8</v>
      </c>
      <c r="AW35" s="12">
        <f t="shared" si="35"/>
        <v>14.85</v>
      </c>
      <c r="AX35" s="39">
        <f t="shared" si="36"/>
        <v>1.1953879999999999</v>
      </c>
      <c r="AY35" s="39">
        <f t="shared" si="37"/>
        <v>8.1234749999999991</v>
      </c>
      <c r="AZ35" s="39">
        <f t="shared" si="38"/>
        <v>2.9868649999999999</v>
      </c>
      <c r="BA35" s="39">
        <f t="shared" si="39"/>
        <v>62.839647999999997</v>
      </c>
      <c r="BB35" s="12">
        <f t="shared" si="40"/>
        <v>22.95</v>
      </c>
      <c r="BC35" s="13">
        <f t="shared" si="41"/>
        <v>4</v>
      </c>
    </row>
    <row r="37" spans="3:55" x14ac:dyDescent="0.3">
      <c r="D37" s="1">
        <f>SUM(D4:D35)</f>
        <v>457.84999999999997</v>
      </c>
      <c r="M37" s="1">
        <f>SUM(M4:M35)</f>
        <v>413</v>
      </c>
      <c r="V37" s="1">
        <f>SUM(V4:V35)</f>
        <v>413.2</v>
      </c>
      <c r="AE37" s="1">
        <f>SUM(AE4:AE35)</f>
        <v>411.90000000000003</v>
      </c>
      <c r="AN37" s="1">
        <f>SUM(AN4:AN35)</f>
        <v>413</v>
      </c>
      <c r="AW37" s="1">
        <f>SUM(AW4:AW35)</f>
        <v>464.05</v>
      </c>
    </row>
    <row r="40" spans="3:55" ht="18.75" x14ac:dyDescent="0.3">
      <c r="C40" s="2" t="s">
        <v>0</v>
      </c>
      <c r="D40" s="2" t="s">
        <v>24</v>
      </c>
      <c r="E40" s="2" t="s">
        <v>27</v>
      </c>
      <c r="F40" s="2" t="s">
        <v>28</v>
      </c>
      <c r="G40" s="2" t="s">
        <v>29</v>
      </c>
      <c r="H40" s="2" t="s">
        <v>30</v>
      </c>
      <c r="I40" s="2" t="s">
        <v>25</v>
      </c>
      <c r="J40" s="2" t="s">
        <v>26</v>
      </c>
    </row>
    <row r="41" spans="3:55" x14ac:dyDescent="0.3">
      <c r="C41" s="2" t="s">
        <v>1</v>
      </c>
      <c r="D41" s="2">
        <v>5.2</v>
      </c>
      <c r="E41" s="18">
        <f>主要截面特性!$D$19</f>
        <v>1.1953879999999999</v>
      </c>
      <c r="F41" s="18">
        <f>主要截面特性!$G$19</f>
        <v>8.1234749999999991</v>
      </c>
      <c r="G41" s="18">
        <f>主要截面特性!$E$19</f>
        <v>2.9868649999999999</v>
      </c>
      <c r="H41" s="18">
        <f>主要截面特性!$F$19</f>
        <v>62.839647999999997</v>
      </c>
      <c r="I41" s="2">
        <v>22.95</v>
      </c>
      <c r="J41" s="2">
        <v>4</v>
      </c>
    </row>
    <row r="42" spans="3:55" x14ac:dyDescent="0.3">
      <c r="C42" s="2" t="s">
        <v>19</v>
      </c>
      <c r="D42" s="2">
        <v>15</v>
      </c>
      <c r="E42" s="18">
        <f>主要截面特性!$D$19</f>
        <v>1.1953879999999999</v>
      </c>
      <c r="F42" s="18">
        <f>主要截面特性!$G$19</f>
        <v>8.1234749999999991</v>
      </c>
      <c r="G42" s="18">
        <f>主要截面特性!$E$19</f>
        <v>2.9868649999999999</v>
      </c>
      <c r="H42" s="18">
        <f>主要截面特性!$F$19</f>
        <v>62.839647999999997</v>
      </c>
      <c r="I42" s="2">
        <v>22.95</v>
      </c>
      <c r="J42" s="2">
        <v>4</v>
      </c>
    </row>
    <row r="43" spans="3:55" x14ac:dyDescent="0.3">
      <c r="C43" s="2" t="s">
        <v>17</v>
      </c>
      <c r="D43" s="2">
        <v>15</v>
      </c>
      <c r="E43" s="18">
        <f>主要截面特性!$D$19</f>
        <v>1.1953879999999999</v>
      </c>
      <c r="F43" s="18">
        <f>主要截面特性!$G$19</f>
        <v>8.1234749999999991</v>
      </c>
      <c r="G43" s="18">
        <f>主要截面特性!$E$19</f>
        <v>2.9868649999999999</v>
      </c>
      <c r="H43" s="18">
        <f>主要截面特性!$F$19</f>
        <v>62.839647999999997</v>
      </c>
      <c r="I43" s="2">
        <v>22.95</v>
      </c>
      <c r="J43" s="2">
        <v>4</v>
      </c>
    </row>
    <row r="44" spans="3:55" x14ac:dyDescent="0.3">
      <c r="C44" s="2" t="s">
        <v>18</v>
      </c>
      <c r="D44" s="2">
        <v>12</v>
      </c>
      <c r="E44" s="18">
        <f>主要截面特性!$D$19</f>
        <v>1.1953879999999999</v>
      </c>
      <c r="F44" s="18">
        <f>主要截面特性!$G$19</f>
        <v>8.1234749999999991</v>
      </c>
      <c r="G44" s="18">
        <f>主要截面特性!$E$19</f>
        <v>2.9868649999999999</v>
      </c>
      <c r="H44" s="18">
        <f>主要截面特性!$F$19</f>
        <v>62.839647999999997</v>
      </c>
      <c r="I44" s="2">
        <v>22.95</v>
      </c>
      <c r="J44" s="2">
        <v>4</v>
      </c>
    </row>
    <row r="45" spans="3:55" x14ac:dyDescent="0.3">
      <c r="C45" s="2" t="s">
        <v>15</v>
      </c>
      <c r="D45" s="2">
        <v>15</v>
      </c>
      <c r="E45" s="18">
        <f>主要截面特性!$D$19</f>
        <v>1.1953879999999999</v>
      </c>
      <c r="F45" s="18">
        <f>主要截面特性!$G$19</f>
        <v>8.1234749999999991</v>
      </c>
      <c r="G45" s="18">
        <f>主要截面特性!$E$19</f>
        <v>2.9868649999999999</v>
      </c>
      <c r="H45" s="18">
        <f>主要截面特性!$F$19</f>
        <v>62.839647999999997</v>
      </c>
      <c r="I45" s="2">
        <v>22.95</v>
      </c>
      <c r="J45" s="2">
        <v>4</v>
      </c>
    </row>
    <row r="46" spans="3:55" x14ac:dyDescent="0.3">
      <c r="C46" s="2" t="s">
        <v>10</v>
      </c>
      <c r="D46" s="2">
        <v>15</v>
      </c>
      <c r="E46" s="18">
        <f>主要截面特性!$D$19</f>
        <v>1.1953879999999999</v>
      </c>
      <c r="F46" s="18">
        <f>主要截面特性!$G$19</f>
        <v>8.1234749999999991</v>
      </c>
      <c r="G46" s="18">
        <f>主要截面特性!$E$19</f>
        <v>2.9868649999999999</v>
      </c>
      <c r="H46" s="18">
        <f>主要截面特性!$F$19</f>
        <v>62.839647999999997</v>
      </c>
      <c r="I46" s="2">
        <v>22.95</v>
      </c>
      <c r="J46" s="2">
        <v>4</v>
      </c>
    </row>
    <row r="47" spans="3:55" x14ac:dyDescent="0.3">
      <c r="C47" s="2" t="s">
        <v>13</v>
      </c>
      <c r="D47" s="2">
        <v>15</v>
      </c>
      <c r="E47" s="18">
        <f>主要截面特性!$D$19</f>
        <v>1.1953879999999999</v>
      </c>
      <c r="F47" s="18">
        <f>主要截面特性!$G$19</f>
        <v>8.1234749999999991</v>
      </c>
      <c r="G47" s="18">
        <f>主要截面特性!$E$19</f>
        <v>2.9868649999999999</v>
      </c>
      <c r="H47" s="18">
        <f>主要截面特性!$F$19</f>
        <v>62.839647999999997</v>
      </c>
      <c r="I47" s="2">
        <v>22.95</v>
      </c>
      <c r="J47" s="2">
        <v>4</v>
      </c>
    </row>
    <row r="48" spans="3:55" x14ac:dyDescent="0.3">
      <c r="C48" s="2" t="s">
        <v>9</v>
      </c>
      <c r="D48" s="2">
        <v>15</v>
      </c>
      <c r="E48" s="18">
        <f>主要截面特性!$D$19</f>
        <v>1.1953879999999999</v>
      </c>
      <c r="F48" s="18">
        <f>主要截面特性!$G$19</f>
        <v>8.1234749999999991</v>
      </c>
      <c r="G48" s="18">
        <f>主要截面特性!$E$19</f>
        <v>2.9868649999999999</v>
      </c>
      <c r="H48" s="18">
        <f>主要截面特性!$F$19</f>
        <v>62.839647999999997</v>
      </c>
      <c r="I48" s="2">
        <v>22.95</v>
      </c>
      <c r="J48" s="2">
        <v>4</v>
      </c>
    </row>
    <row r="49" spans="3:10" x14ac:dyDescent="0.3">
      <c r="C49" s="2" t="s">
        <v>14</v>
      </c>
      <c r="D49" s="2">
        <v>15</v>
      </c>
      <c r="E49" s="18">
        <f>主要截面特性!$D$19</f>
        <v>1.1953879999999999</v>
      </c>
      <c r="F49" s="18">
        <f>主要截面特性!$G$19</f>
        <v>8.1234749999999991</v>
      </c>
      <c r="G49" s="18">
        <f>主要截面特性!$E$19</f>
        <v>2.9868649999999999</v>
      </c>
      <c r="H49" s="18">
        <f>主要截面特性!$F$19</f>
        <v>62.839647999999997</v>
      </c>
      <c r="I49" s="2">
        <v>22.95</v>
      </c>
      <c r="J49" s="2">
        <v>4</v>
      </c>
    </row>
    <row r="50" spans="3:10" x14ac:dyDescent="0.3">
      <c r="C50" s="2" t="s">
        <v>16</v>
      </c>
      <c r="D50" s="2">
        <v>15</v>
      </c>
      <c r="E50" s="18">
        <f>主要截面特性!$D$19</f>
        <v>1.1953879999999999</v>
      </c>
      <c r="F50" s="18">
        <f>主要截面特性!$G$19</f>
        <v>8.1234749999999991</v>
      </c>
      <c r="G50" s="18">
        <f>主要截面特性!$E$19</f>
        <v>2.9868649999999999</v>
      </c>
      <c r="H50" s="18">
        <f>主要截面特性!$F$19</f>
        <v>62.839647999999997</v>
      </c>
      <c r="I50" s="2">
        <v>22.95</v>
      </c>
      <c r="J50" s="2">
        <v>4</v>
      </c>
    </row>
    <row r="51" spans="3:10" x14ac:dyDescent="0.3">
      <c r="C51" s="2" t="s">
        <v>12</v>
      </c>
      <c r="D51" s="2">
        <v>15</v>
      </c>
      <c r="E51" s="18">
        <f>主要截面特性!$D$19</f>
        <v>1.1953879999999999</v>
      </c>
      <c r="F51" s="18">
        <f>主要截面特性!$G$19</f>
        <v>8.1234749999999991</v>
      </c>
      <c r="G51" s="18">
        <f>主要截面特性!$E$19</f>
        <v>2.9868649999999999</v>
      </c>
      <c r="H51" s="18">
        <f>主要截面特性!$F$19</f>
        <v>62.839647999999997</v>
      </c>
      <c r="I51" s="2">
        <v>22.95</v>
      </c>
      <c r="J51" s="2">
        <v>4</v>
      </c>
    </row>
    <row r="52" spans="3:10" x14ac:dyDescent="0.3">
      <c r="C52" s="2" t="s">
        <v>8</v>
      </c>
      <c r="D52" s="2">
        <v>14.85</v>
      </c>
      <c r="E52" s="18">
        <f>主要截面特性!$D$19</f>
        <v>1.1953879999999999</v>
      </c>
      <c r="F52" s="18">
        <f>主要截面特性!$G$19</f>
        <v>8.1234749999999991</v>
      </c>
      <c r="G52" s="18">
        <f>主要截面特性!$E$19</f>
        <v>2.9868649999999999</v>
      </c>
      <c r="H52" s="18">
        <f>主要截面特性!$F$19</f>
        <v>62.839647999999997</v>
      </c>
      <c r="I52" s="2">
        <v>22.95</v>
      </c>
      <c r="J52" s="2">
        <v>4</v>
      </c>
    </row>
    <row r="53" spans="3:10" x14ac:dyDescent="0.3">
      <c r="C53" s="2" t="s">
        <v>20</v>
      </c>
      <c r="D53" s="2">
        <v>8.8000000000000007</v>
      </c>
      <c r="E53" s="18">
        <f>主要截面特性!$D$19</f>
        <v>1.1953879999999999</v>
      </c>
      <c r="F53" s="18">
        <f>主要截面特性!$G$19</f>
        <v>8.1234749999999991</v>
      </c>
      <c r="G53" s="18">
        <f>主要截面特性!$E$19</f>
        <v>2.9868649999999999</v>
      </c>
      <c r="H53" s="18">
        <f>主要截面特性!$F$19</f>
        <v>62.839647999999997</v>
      </c>
      <c r="I53" s="2">
        <v>22.95</v>
      </c>
      <c r="J53" s="2">
        <v>4</v>
      </c>
    </row>
    <row r="54" spans="3:10" x14ac:dyDescent="0.3">
      <c r="C54" s="2" t="s">
        <v>21</v>
      </c>
      <c r="D54" s="2">
        <v>14</v>
      </c>
      <c r="E54" s="18">
        <f>主要截面特性!$D$19</f>
        <v>1.1953879999999999</v>
      </c>
      <c r="F54" s="18">
        <f>主要截面特性!$G$19</f>
        <v>8.1234749999999991</v>
      </c>
      <c r="G54" s="18">
        <f>主要截面特性!$E$19</f>
        <v>2.9868649999999999</v>
      </c>
      <c r="H54" s="18">
        <f>主要截面特性!$F$19</f>
        <v>62.839647999999997</v>
      </c>
      <c r="I54" s="2">
        <v>22.95</v>
      </c>
      <c r="J54" s="2">
        <v>4</v>
      </c>
    </row>
    <row r="55" spans="3:10" x14ac:dyDescent="0.3">
      <c r="C55" s="2" t="s">
        <v>22</v>
      </c>
      <c r="D55" s="2">
        <v>10</v>
      </c>
      <c r="E55" s="18">
        <f>主要截面特性!$D$19</f>
        <v>1.1953879999999999</v>
      </c>
      <c r="F55" s="18">
        <f>主要截面特性!$G$19</f>
        <v>8.1234749999999991</v>
      </c>
      <c r="G55" s="18">
        <f>主要截面特性!$E$19</f>
        <v>2.9868649999999999</v>
      </c>
      <c r="H55" s="18">
        <f>主要截面特性!$F$19</f>
        <v>62.839647999999997</v>
      </c>
      <c r="I55" s="2">
        <v>22.95</v>
      </c>
      <c r="J55" s="2">
        <v>4</v>
      </c>
    </row>
    <row r="56" spans="3:10" x14ac:dyDescent="0.3">
      <c r="C56" s="2" t="s">
        <v>23</v>
      </c>
      <c r="D56" s="2">
        <v>13.9</v>
      </c>
      <c r="E56" s="18">
        <f>主要截面特性!$D$19</f>
        <v>1.1953879999999999</v>
      </c>
      <c r="F56" s="18">
        <f>主要截面特性!$G$19</f>
        <v>8.1234749999999991</v>
      </c>
      <c r="G56" s="18">
        <f>主要截面特性!$E$19</f>
        <v>2.9868649999999999</v>
      </c>
      <c r="H56" s="18">
        <f>主要截面特性!$F$19</f>
        <v>62.839647999999997</v>
      </c>
      <c r="I56" s="2">
        <v>22.95</v>
      </c>
      <c r="J56" s="2">
        <v>4</v>
      </c>
    </row>
    <row r="57" spans="3:10" x14ac:dyDescent="0.3">
      <c r="C57" s="2" t="s">
        <v>11</v>
      </c>
      <c r="D57" s="2">
        <v>15</v>
      </c>
      <c r="E57" s="18">
        <f>主要截面特性!$D$19</f>
        <v>1.1953879999999999</v>
      </c>
      <c r="F57" s="18">
        <f>主要截面特性!$G$19</f>
        <v>8.1234749999999991</v>
      </c>
      <c r="G57" s="18">
        <f>主要截面特性!$E$19</f>
        <v>2.9868649999999999</v>
      </c>
      <c r="H57" s="18">
        <f>主要截面特性!$F$19</f>
        <v>62.839647999999997</v>
      </c>
      <c r="I57" s="2">
        <v>22.95</v>
      </c>
      <c r="J57" s="2">
        <v>4</v>
      </c>
    </row>
  </sheetData>
  <sortState ref="C47:C226">
    <sortCondition ref="C47:C226"/>
  </sortState>
  <mergeCells count="6">
    <mergeCell ref="AV2:BC2"/>
    <mergeCell ref="C2:J2"/>
    <mergeCell ref="L2:S2"/>
    <mergeCell ref="U2:AB2"/>
    <mergeCell ref="AD2:AK2"/>
    <mergeCell ref="AM2:AT2"/>
  </mergeCells>
  <phoneticPr fontId="1" type="noConversion"/>
  <dataValidations count="1">
    <dataValidation type="list" allowBlank="1" showInputMessage="1" showErrorMessage="1" sqref="C4:C35 AV4:AV35 AM4:AM32 AD4:AD32 U4:U32 L4:L32">
      <formula1>$C$41:$C$57</formula1>
    </dataValidation>
  </dataValidations>
  <pageMargins left="0.7" right="0.7" top="0.75" bottom="0.75" header="0.3" footer="0.3"/>
  <pageSetup paperSize="9" orientation="portrait" horizontalDpi="200" verticalDpi="2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3:I19"/>
  <sheetViews>
    <sheetView zoomScale="115" zoomScaleNormal="115" workbookViewId="0">
      <selection activeCell="L13" sqref="L13"/>
    </sheetView>
  </sheetViews>
  <sheetFormatPr defaultRowHeight="16.5" x14ac:dyDescent="0.3"/>
  <sheetData>
    <row r="3" spans="2:9" ht="18.75" x14ac:dyDescent="0.3">
      <c r="B3" s="2" t="s">
        <v>0</v>
      </c>
      <c r="C3" s="2" t="s">
        <v>24</v>
      </c>
      <c r="D3" s="2" t="s">
        <v>27</v>
      </c>
      <c r="E3" s="2" t="s">
        <v>28</v>
      </c>
      <c r="F3" s="2" t="s">
        <v>29</v>
      </c>
      <c r="G3" s="2" t="s">
        <v>30</v>
      </c>
      <c r="H3" s="2" t="s">
        <v>25</v>
      </c>
      <c r="I3" s="2" t="s">
        <v>26</v>
      </c>
    </row>
    <row r="4" spans="2:9" x14ac:dyDescent="0.3">
      <c r="B4" s="3" t="s">
        <v>31</v>
      </c>
      <c r="C4" s="2"/>
      <c r="D4" s="2">
        <f>INDEX(表7[面积],MATCH(桥塔截面统计!B4,表7[编号],0),1)</f>
        <v>81.995911000000007</v>
      </c>
      <c r="E4" s="2">
        <f>INDEX(表7[[     IXX     ]],MATCH(桥塔截面统计!B4,表7[编号],0),1)</f>
        <v>1017.869692</v>
      </c>
      <c r="F4" s="2">
        <f>INDEX(表7[[     IYY     ]],MATCH(桥塔截面统计!B4,表7[编号],0),1)</f>
        <v>619.29695500000003</v>
      </c>
      <c r="G4" s="2">
        <f>INDEX(表7[[     IZZ     ]],MATCH(桥塔截面统计!B4,表7[编号],0),1)</f>
        <v>475.81552599999998</v>
      </c>
      <c r="H4" s="2">
        <v>8.8000000000000007</v>
      </c>
      <c r="I4" s="2">
        <v>10</v>
      </c>
    </row>
    <row r="5" spans="2:9" x14ac:dyDescent="0.3">
      <c r="B5" s="3" t="s">
        <v>32</v>
      </c>
      <c r="C5" s="2"/>
      <c r="D5" s="2">
        <f>INDEX(表7[面积],MATCH(桥塔截面统计!B5,表7[编号],0),1)</f>
        <v>46.381599999999999</v>
      </c>
      <c r="E5" s="2">
        <f>INDEX(表7[[     IXX     ]],MATCH(桥塔截面统计!B5,表7[编号],0),1)</f>
        <v>846.95108500000003</v>
      </c>
      <c r="F5" s="2">
        <f>INDEX(表7[[     IYY     ]],MATCH(桥塔截面统计!B5,表7[编号],0),1)</f>
        <v>627.77555600000005</v>
      </c>
      <c r="G5" s="2">
        <f>INDEX(表7[[     IZZ     ]],MATCH(桥塔截面统计!B5,表7[编号],0),1)</f>
        <v>373.33094999999997</v>
      </c>
      <c r="H5" s="2">
        <v>8.8000000000000007</v>
      </c>
      <c r="I5" s="2">
        <v>10.73</v>
      </c>
    </row>
    <row r="6" spans="2:9" x14ac:dyDescent="0.3">
      <c r="B6" s="2" t="s">
        <v>33</v>
      </c>
      <c r="C6" s="2"/>
      <c r="D6" s="2">
        <f>INDEX(表7[面积],MATCH(桥塔截面统计!B6,表7[编号],0),1)</f>
        <v>49.911338000000001</v>
      </c>
      <c r="E6" s="2">
        <f>INDEX(表7[[     IXX     ]],MATCH(桥塔截面统计!B6,表7[编号],0),1)</f>
        <v>943.37120000000004</v>
      </c>
      <c r="F6" s="2">
        <f>INDEX(表7[[     IYY     ]],MATCH(桥塔截面统计!B6,表7[编号],0),1)</f>
        <v>623.38048100000003</v>
      </c>
      <c r="G6" s="2">
        <f>INDEX(表7[[     IZZ     ]],MATCH(桥塔截面统计!B6,表7[编号],0),1)</f>
        <v>431.22762399999999</v>
      </c>
      <c r="H6" s="2">
        <v>8.8000000000000007</v>
      </c>
      <c r="I6" s="2">
        <v>10.83</v>
      </c>
    </row>
    <row r="7" spans="2:9" x14ac:dyDescent="0.3">
      <c r="B7" s="2" t="s">
        <v>34</v>
      </c>
      <c r="C7" s="2"/>
      <c r="D7" s="2">
        <f>INDEX(表7[面积],MATCH(桥塔截面统计!B7,表7[编号],0),1)</f>
        <v>49.916339000000001</v>
      </c>
      <c r="E7" s="2">
        <f>INDEX(表7[[     IXX     ]],MATCH(桥塔截面统计!B7,表7[编号],0),1)</f>
        <v>943.33605999999997</v>
      </c>
      <c r="F7" s="2">
        <f>INDEX(表7[[     IYY     ]],MATCH(桥塔截面统计!B7,表7[编号],0),1)</f>
        <v>623.388464</v>
      </c>
      <c r="G7" s="2">
        <f>INDEX(表7[[     IZZ     ]],MATCH(桥塔截面统计!B7,表7[编号],0),1)</f>
        <v>431.22785499999998</v>
      </c>
      <c r="H7" s="2">
        <v>8.8000000000000007</v>
      </c>
      <c r="I7" s="2">
        <v>10.83</v>
      </c>
    </row>
    <row r="8" spans="2:9" x14ac:dyDescent="0.3">
      <c r="B8" s="2" t="s">
        <v>35</v>
      </c>
      <c r="C8" s="2"/>
      <c r="D8" s="2">
        <f>INDEX(表7[面积],MATCH(桥塔截面统计!B8,表7[编号],0),1)</f>
        <v>55.645986000000001</v>
      </c>
      <c r="E8" s="2">
        <f>INDEX(表7[[     IXX     ]],MATCH(桥塔截面统计!B8,表7[编号],0),1)</f>
        <v>1030.6450239999999</v>
      </c>
      <c r="F8" s="2">
        <f>INDEX(表7[[     IYY     ]],MATCH(桥塔截面统计!B8,表7[编号],0),1)</f>
        <v>710.28461500000003</v>
      </c>
      <c r="G8" s="2">
        <f>INDEX(表7[[     IZZ     ]],MATCH(桥塔截面统计!B8,表7[编号],0),1)</f>
        <v>453.25999899999999</v>
      </c>
      <c r="H8" s="2">
        <v>8.8000000000000007</v>
      </c>
      <c r="I8" s="2">
        <v>11.02</v>
      </c>
    </row>
    <row r="9" spans="2:9" x14ac:dyDescent="0.3">
      <c r="B9" s="2" t="s">
        <v>36</v>
      </c>
      <c r="C9" s="2"/>
      <c r="D9" s="2">
        <f>INDEX(表7[面积],MATCH(桥塔截面统计!B9,表7[编号],0),1)</f>
        <v>55.640253000000001</v>
      </c>
      <c r="E9" s="2">
        <f>INDEX(表7[[     IXX     ]],MATCH(桥塔截面统计!B9,表7[编号],0),1)</f>
        <v>1030.514062</v>
      </c>
      <c r="F9" s="2">
        <f>INDEX(表7[[     IYY     ]],MATCH(桥塔截面统计!B9,表7[编号],0),1)</f>
        <v>710.23348799999997</v>
      </c>
      <c r="G9" s="2">
        <f>INDEX(表7[[     IZZ     ]],MATCH(桥塔截面统计!B9,表7[编号],0),1)</f>
        <v>453.18626399999999</v>
      </c>
      <c r="H9" s="2">
        <v>8.8000000000000007</v>
      </c>
      <c r="I9" s="2">
        <v>11.02</v>
      </c>
    </row>
    <row r="10" spans="2:9" x14ac:dyDescent="0.3">
      <c r="B10" s="2" t="s">
        <v>37</v>
      </c>
      <c r="C10" s="2"/>
      <c r="D10" s="2">
        <f>INDEX(表7[面积],MATCH(桥塔截面统计!B10,表7[编号],0),1)</f>
        <v>48.108324000000003</v>
      </c>
      <c r="E10" s="2">
        <f>INDEX(表7[[     IXX     ]],MATCH(桥塔截面统计!B10,表7[编号],0),1)</f>
        <v>944.04863399999999</v>
      </c>
      <c r="F10" s="2">
        <f>INDEX(表7[[     IYY     ]],MATCH(桥塔截面统计!B10,表7[编号],0),1)</f>
        <v>660.98047899999995</v>
      </c>
      <c r="G10" s="2">
        <f>INDEX(表7[[     IZZ     ]],MATCH(桥塔截面统计!B10,表7[编号],0),1)</f>
        <v>413.77211599999998</v>
      </c>
      <c r="H10" s="2">
        <v>8.8000000000000007</v>
      </c>
      <c r="I10" s="2">
        <v>11.07</v>
      </c>
    </row>
    <row r="11" spans="2:9" x14ac:dyDescent="0.3">
      <c r="B11" s="2" t="s">
        <v>38</v>
      </c>
      <c r="C11" s="2"/>
      <c r="D11" s="2">
        <f>INDEX(表7[面积],MATCH(桥塔截面统计!B11,表7[编号],0),1)</f>
        <v>48.639200000000002</v>
      </c>
      <c r="E11" s="2">
        <f>INDEX(表7[[     IXX     ]],MATCH(桥塔截面统计!B11,表7[编号],0),1)</f>
        <v>970.55342299999995</v>
      </c>
      <c r="F11" s="2">
        <f>INDEX(表7[[     IYY     ]],MATCH(桥塔截面统计!B11,表7[编号],0),1)</f>
        <v>692.14760999999999</v>
      </c>
      <c r="G11" s="2">
        <f>INDEX(表7[[     IZZ     ]],MATCH(桥塔截面统计!B11,表7[编号],0),1)</f>
        <v>421.10367600000001</v>
      </c>
      <c r="H11" s="2">
        <v>8.8000000000000007</v>
      </c>
      <c r="I11" s="2">
        <v>11.26</v>
      </c>
    </row>
    <row r="12" spans="2:9" x14ac:dyDescent="0.3">
      <c r="B12" s="2" t="s">
        <v>39</v>
      </c>
      <c r="C12" s="2"/>
      <c r="D12" s="2">
        <f>INDEX(表7[面积],MATCH(桥塔截面统计!B12,表7[编号],0),1)</f>
        <v>53.967599999999997</v>
      </c>
      <c r="E12" s="2">
        <f>INDEX(表7[[     IXX     ]],MATCH(桥塔截面统计!B12,表7[编号],0),1)</f>
        <v>1241.0660419999999</v>
      </c>
      <c r="F12" s="2">
        <f>INDEX(表7[[     IYY     ]],MATCH(桥塔截面统计!B12,表7[编号],0),1)</f>
        <v>1054.6057049999999</v>
      </c>
      <c r="G12" s="2">
        <f>INDEX(表7[[     IZZ     ]],MATCH(桥塔截面统计!B12,表7[编号],0),1)</f>
        <v>494.91977700000001</v>
      </c>
      <c r="H12" s="2" t="s">
        <v>47</v>
      </c>
      <c r="I12" s="2">
        <v>13.17</v>
      </c>
    </row>
    <row r="13" spans="2:9" x14ac:dyDescent="0.3">
      <c r="B13" s="2" t="s">
        <v>40</v>
      </c>
      <c r="C13" s="2"/>
      <c r="D13" s="2">
        <f>INDEX(表7[面积],MATCH(桥塔截面统计!B13,表7[编号],0),1)</f>
        <v>79.5</v>
      </c>
      <c r="E13" s="2">
        <f>INDEX(表7[[     IXX     ]],MATCH(桥塔截面统计!B13,表7[编号],0),1)</f>
        <v>1640.3444629999999</v>
      </c>
      <c r="F13" s="2">
        <f>INDEX(表7[[     IYY     ]],MATCH(桥塔截面统计!B13,表7[编号],0),1)</f>
        <v>1522.1369999999999</v>
      </c>
      <c r="G13" s="2">
        <f>INDEX(表7[[     IZZ     ]],MATCH(桥塔截面统计!B13,表7[编号],0),1)</f>
        <v>626.77862500000003</v>
      </c>
      <c r="H13" s="2">
        <v>8.8000000000000007</v>
      </c>
      <c r="I13" s="2">
        <v>13.8</v>
      </c>
    </row>
    <row r="14" spans="2:9" x14ac:dyDescent="0.3">
      <c r="B14" s="2" t="s">
        <v>41</v>
      </c>
      <c r="C14" s="2"/>
      <c r="D14" s="2">
        <f>INDEX(表7[面积],MATCH(桥塔截面统计!B14,表7[编号],0),1)</f>
        <v>53.302399999999999</v>
      </c>
      <c r="E14" s="2">
        <f>INDEX(表7[[     IXX     ]],MATCH(桥塔截面统计!B14,表7[编号],0),1)</f>
        <v>2174.2573550000002</v>
      </c>
      <c r="F14" s="2">
        <f>INDEX(表7[[     IYY     ]],MATCH(桥塔截面统计!B14,表7[编号],0),1)</f>
        <v>1485.100788</v>
      </c>
      <c r="G14" s="2">
        <f>INDEX(表7[[     IZZ     ]],MATCH(桥塔截面统计!B14,表7[编号],0),1)</f>
        <v>999.96940700000005</v>
      </c>
      <c r="H14" s="2">
        <v>11.5</v>
      </c>
      <c r="I14" s="2">
        <v>16</v>
      </c>
    </row>
    <row r="15" spans="2:9" x14ac:dyDescent="0.3">
      <c r="B15" s="2" t="s">
        <v>42</v>
      </c>
      <c r="C15" s="2"/>
      <c r="D15" s="2">
        <f>INDEX(表7[面积],MATCH(桥塔截面统计!B15,表7[编号],0),1)</f>
        <v>94.368799999999993</v>
      </c>
      <c r="E15" s="2">
        <f>INDEX(表7[[     IXX     ]],MATCH(桥塔截面统计!B15,表7[编号],0),1)</f>
        <v>3382.4136680000001</v>
      </c>
      <c r="F15" s="2">
        <f>INDEX(表7[[     IYY     ]],MATCH(桥塔截面统计!B15,表7[编号],0),1)</f>
        <v>2572.024617</v>
      </c>
      <c r="G15" s="2">
        <f>INDEX(表7[[     IZZ     ]],MATCH(桥塔截面统计!B15,表7[编号],0),1)</f>
        <v>1387.094711</v>
      </c>
      <c r="H15" s="2">
        <v>11.5</v>
      </c>
      <c r="I15" s="2">
        <v>16</v>
      </c>
    </row>
    <row r="16" spans="2:9" x14ac:dyDescent="0.3">
      <c r="B16" s="2" t="s">
        <v>43</v>
      </c>
      <c r="C16" s="2"/>
      <c r="D16" s="2">
        <f>INDEX(表7[面积],MATCH(桥塔截面统计!B16,表7[编号],0),1)</f>
        <v>76.708799999999997</v>
      </c>
      <c r="E16" s="2">
        <f>INDEX(表7[[     IXX     ]],MATCH(桥塔截面统计!B16,表7[编号],0),1)</f>
        <v>3062.7619629999999</v>
      </c>
      <c r="F16" s="2">
        <f>INDEX(表7[[     IYY     ]],MATCH(桥塔截面统计!B16,表7[编号],0),1)</f>
        <v>2327.7603549999999</v>
      </c>
      <c r="G16" s="2">
        <f>INDEX(表7[[     IZZ     ]],MATCH(桥塔截面统计!B16,表7[编号],0),1)</f>
        <v>1268.600027</v>
      </c>
      <c r="H16" s="2">
        <v>11.75</v>
      </c>
      <c r="I16" s="2">
        <v>16.2</v>
      </c>
    </row>
    <row r="17" spans="2:9" x14ac:dyDescent="0.3">
      <c r="B17" s="2" t="s">
        <v>44</v>
      </c>
      <c r="C17" s="2"/>
      <c r="D17" s="2">
        <f>INDEX(表7[面积],MATCH(桥塔截面统计!B17,表7[编号],0),1)</f>
        <v>109.047113</v>
      </c>
      <c r="E17" s="2">
        <f>INDEX(表7[[     IXX     ]],MATCH(桥塔截面统计!B17,表7[编号],0),1)</f>
        <v>4486.2489139999998</v>
      </c>
      <c r="F17" s="2">
        <f>INDEX(表7[[     IYY     ]],MATCH(桥塔截面统计!B17,表7[编号],0),1)</f>
        <v>3283.9627989999999</v>
      </c>
      <c r="G17" s="2">
        <f>INDEX(表7[[     IZZ     ]],MATCH(桥塔截面统计!B17,表7[编号],0),1)</f>
        <v>2096.0589749999999</v>
      </c>
      <c r="H17" s="2">
        <v>13.25</v>
      </c>
      <c r="I17" s="2">
        <v>17.399999999999999</v>
      </c>
    </row>
    <row r="18" spans="2:9" x14ac:dyDescent="0.3">
      <c r="B18" s="2" t="s">
        <v>45</v>
      </c>
      <c r="C18" s="2"/>
      <c r="D18" s="2">
        <f>INDEX(表7[面积],MATCH(桥塔截面统计!B18,表7[编号],0),1)</f>
        <v>132.09388899999999</v>
      </c>
      <c r="E18" s="2">
        <f>INDEX(表7[[     IXX     ]],MATCH(桥塔截面统计!B18,表7[编号],0),1)</f>
        <v>5563.8037160000003</v>
      </c>
      <c r="F18" s="2">
        <f>INDEX(表7[[     IYY     ]],MATCH(桥塔截面统计!B18,表7[编号],0),1)</f>
        <v>4023.8017180000002</v>
      </c>
      <c r="G18" s="2">
        <f>INDEX(表7[[     IZZ     ]],MATCH(桥塔截面统计!B18,表7[编号],0),1)</f>
        <v>2548.4995389999999</v>
      </c>
      <c r="H18" s="2">
        <v>13.5</v>
      </c>
      <c r="I18" s="2">
        <v>17.600000000000001</v>
      </c>
    </row>
    <row r="19" spans="2:9" x14ac:dyDescent="0.3">
      <c r="B19" s="2" t="s">
        <v>46</v>
      </c>
      <c r="C19" s="2"/>
      <c r="D19" s="2">
        <f>INDEX(表7[面积],MATCH(桥塔截面统计!B19,表7[编号],0),1)</f>
        <v>239.55840000000001</v>
      </c>
      <c r="E19" s="2">
        <f>INDEX(表7[[     IXX     ]],MATCH(桥塔截面统计!B19,表7[编号],0),1)</f>
        <v>8379.3659349999998</v>
      </c>
      <c r="F19" s="2">
        <f>INDEX(表7[[     IYY     ]],MATCH(桥塔截面统计!B19,表7[编号],0),1)</f>
        <v>5994.0219800000004</v>
      </c>
      <c r="G19" s="2">
        <f>INDEX(表7[[     IZZ     ]],MATCH(桥塔截面统计!B19,表7[编号],0),1)</f>
        <v>3622.09834</v>
      </c>
      <c r="H19" s="2">
        <v>14</v>
      </c>
      <c r="I19" s="4">
        <v>18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49"/>
  <sheetViews>
    <sheetView tabSelected="1" zoomScaleNormal="100" workbookViewId="0">
      <selection activeCell="H7" sqref="H7"/>
    </sheetView>
  </sheetViews>
  <sheetFormatPr defaultRowHeight="16.5" x14ac:dyDescent="0.3"/>
  <cols>
    <col min="2" max="2" width="20.85546875" customWidth="1"/>
    <col min="3" max="3" width="13" customWidth="1"/>
    <col min="4" max="4" width="15.28515625" customWidth="1"/>
    <col min="5" max="5" width="14.140625" customWidth="1"/>
    <col min="11" max="11" width="11.28515625" customWidth="1"/>
    <col min="12" max="12" width="12.5703125" customWidth="1"/>
    <col min="15" max="15" width="11.28515625" customWidth="1"/>
    <col min="16" max="16" width="11" customWidth="1"/>
  </cols>
  <sheetData>
    <row r="1" spans="1:22" x14ac:dyDescent="0.3">
      <c r="A1" s="19" t="s">
        <v>77</v>
      </c>
      <c r="B1" s="2" t="s">
        <v>78</v>
      </c>
      <c r="C1" s="2" t="s">
        <v>79</v>
      </c>
      <c r="D1" s="2" t="s">
        <v>80</v>
      </c>
      <c r="E1" s="20" t="s">
        <v>81</v>
      </c>
      <c r="F1" s="2" t="s">
        <v>78</v>
      </c>
      <c r="G1" s="2" t="s">
        <v>79</v>
      </c>
      <c r="H1" s="2" t="s">
        <v>80</v>
      </c>
      <c r="I1" s="21" t="s">
        <v>82</v>
      </c>
      <c r="J1" s="2" t="s">
        <v>78</v>
      </c>
      <c r="K1" s="2" t="s">
        <v>79</v>
      </c>
      <c r="L1" s="2" t="s">
        <v>80</v>
      </c>
      <c r="M1" s="22" t="s">
        <v>83</v>
      </c>
      <c r="N1" s="2" t="s">
        <v>78</v>
      </c>
      <c r="O1" s="2" t="s">
        <v>79</v>
      </c>
      <c r="P1" s="2" t="s">
        <v>80</v>
      </c>
      <c r="Q1" s="2"/>
      <c r="R1" s="2"/>
      <c r="S1" s="2"/>
      <c r="T1" s="2"/>
      <c r="U1" s="2"/>
      <c r="V1" s="2"/>
    </row>
    <row r="2" spans="1:22" x14ac:dyDescent="0.3">
      <c r="A2" s="19" t="s">
        <v>84</v>
      </c>
      <c r="B2" s="2">
        <v>91</v>
      </c>
      <c r="C2" s="23">
        <f>0.25*PI()*7*7*B2</f>
        <v>3502.0904105892218</v>
      </c>
      <c r="D2" s="24">
        <f>SQRT(B2)*7</f>
        <v>66.775744099186198</v>
      </c>
      <c r="E2" s="20" t="s">
        <v>85</v>
      </c>
      <c r="F2" s="2">
        <v>91</v>
      </c>
      <c r="G2" s="23">
        <f>0.25*PI()*7*7*F2</f>
        <v>3502.0904105892218</v>
      </c>
      <c r="H2" s="24">
        <f>SQRT(F2)*7</f>
        <v>66.775744099186198</v>
      </c>
      <c r="I2" s="21" t="s">
        <v>85</v>
      </c>
      <c r="J2" s="2">
        <v>91</v>
      </c>
      <c r="K2" s="23">
        <f>0.25*PI()*7*7*J2</f>
        <v>3502.0904105892218</v>
      </c>
      <c r="L2" s="24">
        <f>SQRT(J2)*7</f>
        <v>66.775744099186198</v>
      </c>
      <c r="M2" s="22" t="s">
        <v>85</v>
      </c>
      <c r="N2" s="2">
        <v>91</v>
      </c>
      <c r="O2" s="23">
        <f>0.25*PI()*7*7*N2</f>
        <v>3502.0904105892218</v>
      </c>
      <c r="P2" s="24">
        <f>SQRT(N2)*7</f>
        <v>66.775744099186198</v>
      </c>
      <c r="Q2" s="25">
        <v>91</v>
      </c>
      <c r="R2" s="26">
        <f t="shared" ref="R2:R7" si="0">0.25*PI()*7*7*Q2</f>
        <v>3502.0904105892218</v>
      </c>
      <c r="S2" s="27">
        <f>V2/2</f>
        <v>33.387872049593099</v>
      </c>
      <c r="T2" s="25" t="s">
        <v>86</v>
      </c>
      <c r="U2" s="2">
        <v>1</v>
      </c>
      <c r="V2" s="27">
        <v>66.775744099186198</v>
      </c>
    </row>
    <row r="3" spans="1:22" x14ac:dyDescent="0.3">
      <c r="A3" s="19" t="s">
        <v>87</v>
      </c>
      <c r="B3" s="2">
        <v>91</v>
      </c>
      <c r="C3" s="23">
        <f t="shared" ref="C3:C49" si="1">0.25*PI()*7*7*B3</f>
        <v>3502.0904105892218</v>
      </c>
      <c r="D3" s="24">
        <f t="shared" ref="D3:D25" si="2">SQRT(B3)*7</f>
        <v>66.775744099186198</v>
      </c>
      <c r="E3" s="20" t="s">
        <v>87</v>
      </c>
      <c r="F3" s="2">
        <v>91</v>
      </c>
      <c r="G3" s="23">
        <f t="shared" ref="G3:G49" si="3">0.25*PI()*7*7*F3</f>
        <v>3502.0904105892218</v>
      </c>
      <c r="H3" s="24">
        <f t="shared" ref="H3:H25" si="4">SQRT(F3)*7</f>
        <v>66.775744099186198</v>
      </c>
      <c r="I3" s="21" t="s">
        <v>87</v>
      </c>
      <c r="J3" s="2">
        <v>91</v>
      </c>
      <c r="K3" s="23">
        <f t="shared" ref="K3:K49" si="5">0.25*PI()*7*7*J3</f>
        <v>3502.0904105892218</v>
      </c>
      <c r="L3" s="24">
        <f t="shared" ref="L3:L25" si="6">SQRT(J3)*7</f>
        <v>66.775744099186198</v>
      </c>
      <c r="M3" s="22" t="s">
        <v>87</v>
      </c>
      <c r="N3" s="2">
        <v>91</v>
      </c>
      <c r="O3" s="23">
        <f t="shared" ref="O3:O49" si="7">0.25*PI()*7*7*N3</f>
        <v>3502.0904105892218</v>
      </c>
      <c r="P3" s="24">
        <f t="shared" ref="P3:P25" si="8">SQRT(N3)*7</f>
        <v>66.775744099186198</v>
      </c>
      <c r="Q3" s="25">
        <v>109</v>
      </c>
      <c r="R3" s="26">
        <f t="shared" si="0"/>
        <v>4194.8115907057709</v>
      </c>
      <c r="S3" s="27">
        <f t="shared" ref="S3:S10" si="9">V3/2</f>
        <v>36.541072781186926</v>
      </c>
      <c r="T3" s="25" t="s">
        <v>88</v>
      </c>
      <c r="U3" s="2">
        <v>2</v>
      </c>
      <c r="V3" s="27">
        <v>73.082145562373853</v>
      </c>
    </row>
    <row r="4" spans="1:22" x14ac:dyDescent="0.3">
      <c r="A4" s="19" t="s">
        <v>89</v>
      </c>
      <c r="B4" s="2">
        <v>91</v>
      </c>
      <c r="C4" s="23">
        <f t="shared" si="1"/>
        <v>3502.0904105892218</v>
      </c>
      <c r="D4" s="24">
        <f t="shared" si="2"/>
        <v>66.775744099186198</v>
      </c>
      <c r="E4" s="20" t="s">
        <v>89</v>
      </c>
      <c r="F4" s="2">
        <v>91</v>
      </c>
      <c r="G4" s="23">
        <f t="shared" si="3"/>
        <v>3502.0904105892218</v>
      </c>
      <c r="H4" s="24">
        <f t="shared" si="4"/>
        <v>66.775744099186198</v>
      </c>
      <c r="I4" s="21" t="s">
        <v>89</v>
      </c>
      <c r="J4" s="2">
        <v>91</v>
      </c>
      <c r="K4" s="23">
        <f t="shared" si="5"/>
        <v>3502.0904105892218</v>
      </c>
      <c r="L4" s="24">
        <f t="shared" si="6"/>
        <v>66.775744099186198</v>
      </c>
      <c r="M4" s="22" t="s">
        <v>89</v>
      </c>
      <c r="N4" s="2">
        <v>91</v>
      </c>
      <c r="O4" s="23">
        <f t="shared" si="7"/>
        <v>3502.0904105892218</v>
      </c>
      <c r="P4" s="24">
        <f t="shared" si="8"/>
        <v>66.775744099186198</v>
      </c>
      <c r="Q4" s="25">
        <v>121</v>
      </c>
      <c r="R4" s="26">
        <f t="shared" si="0"/>
        <v>4656.6257107834708</v>
      </c>
      <c r="S4" s="27">
        <f t="shared" si="9"/>
        <v>38.5</v>
      </c>
      <c r="T4" s="25" t="s">
        <v>90</v>
      </c>
      <c r="U4" s="2">
        <v>3</v>
      </c>
      <c r="V4" s="27">
        <v>77</v>
      </c>
    </row>
    <row r="5" spans="1:22" x14ac:dyDescent="0.3">
      <c r="A5" s="19" t="s">
        <v>91</v>
      </c>
      <c r="B5" s="2">
        <v>109</v>
      </c>
      <c r="C5" s="23">
        <f t="shared" si="1"/>
        <v>4194.8115907057709</v>
      </c>
      <c r="D5" s="24">
        <f t="shared" si="2"/>
        <v>73.082145562373853</v>
      </c>
      <c r="E5" s="20" t="s">
        <v>91</v>
      </c>
      <c r="F5" s="2">
        <v>109</v>
      </c>
      <c r="G5" s="23">
        <f t="shared" si="3"/>
        <v>4194.8115907057709</v>
      </c>
      <c r="H5" s="24">
        <f t="shared" si="4"/>
        <v>73.082145562373853</v>
      </c>
      <c r="I5" s="21" t="s">
        <v>91</v>
      </c>
      <c r="J5" s="2">
        <v>109</v>
      </c>
      <c r="K5" s="23">
        <f t="shared" si="5"/>
        <v>4194.8115907057709</v>
      </c>
      <c r="L5" s="24">
        <f t="shared" si="6"/>
        <v>73.082145562373853</v>
      </c>
      <c r="M5" s="22" t="s">
        <v>91</v>
      </c>
      <c r="N5" s="2">
        <v>109</v>
      </c>
      <c r="O5" s="23">
        <f t="shared" si="7"/>
        <v>4194.8115907057709</v>
      </c>
      <c r="P5" s="24">
        <f t="shared" si="8"/>
        <v>73.082145562373853</v>
      </c>
      <c r="Q5" s="25">
        <v>127</v>
      </c>
      <c r="R5" s="26">
        <f t="shared" si="0"/>
        <v>4887.5327708223203</v>
      </c>
      <c r="S5" s="27">
        <f t="shared" si="9"/>
        <v>39.442996843546254</v>
      </c>
      <c r="T5" s="25" t="s">
        <v>92</v>
      </c>
      <c r="U5" s="2">
        <v>4</v>
      </c>
      <c r="V5" s="27">
        <v>78.885993687092508</v>
      </c>
    </row>
    <row r="6" spans="1:22" x14ac:dyDescent="0.3">
      <c r="A6" s="19" t="s">
        <v>93</v>
      </c>
      <c r="B6" s="2">
        <v>109</v>
      </c>
      <c r="C6" s="23">
        <f t="shared" si="1"/>
        <v>4194.8115907057709</v>
      </c>
      <c r="D6" s="24">
        <f t="shared" si="2"/>
        <v>73.082145562373853</v>
      </c>
      <c r="E6" s="20" t="s">
        <v>93</v>
      </c>
      <c r="F6" s="2">
        <v>109</v>
      </c>
      <c r="G6" s="23">
        <f t="shared" si="3"/>
        <v>4194.8115907057709</v>
      </c>
      <c r="H6" s="24">
        <f t="shared" si="4"/>
        <v>73.082145562373853</v>
      </c>
      <c r="I6" s="21" t="s">
        <v>93</v>
      </c>
      <c r="J6" s="2">
        <v>109</v>
      </c>
      <c r="K6" s="23">
        <f t="shared" si="5"/>
        <v>4194.8115907057709</v>
      </c>
      <c r="L6" s="24">
        <f t="shared" si="6"/>
        <v>73.082145562373853</v>
      </c>
      <c r="M6" s="22" t="s">
        <v>93</v>
      </c>
      <c r="N6" s="2">
        <v>109</v>
      </c>
      <c r="O6" s="23">
        <f t="shared" si="7"/>
        <v>4194.8115907057709</v>
      </c>
      <c r="P6" s="24">
        <f t="shared" si="8"/>
        <v>73.082145562373853</v>
      </c>
      <c r="Q6" s="25">
        <v>139</v>
      </c>
      <c r="R6" s="26">
        <f t="shared" si="0"/>
        <v>5349.3468909000203</v>
      </c>
      <c r="S6" s="27">
        <f t="shared" si="9"/>
        <v>41.26439142893058</v>
      </c>
      <c r="T6" s="25" t="s">
        <v>94</v>
      </c>
      <c r="U6" s="2">
        <v>5</v>
      </c>
      <c r="V6" s="27">
        <v>82.52878285786116</v>
      </c>
    </row>
    <row r="7" spans="1:22" x14ac:dyDescent="0.3">
      <c r="A7" s="19" t="s">
        <v>95</v>
      </c>
      <c r="B7" s="2">
        <v>109</v>
      </c>
      <c r="C7" s="23">
        <f t="shared" si="1"/>
        <v>4194.8115907057709</v>
      </c>
      <c r="D7" s="24">
        <f t="shared" si="2"/>
        <v>73.082145562373853</v>
      </c>
      <c r="E7" s="20" t="s">
        <v>95</v>
      </c>
      <c r="F7" s="2">
        <v>109</v>
      </c>
      <c r="G7" s="23">
        <f t="shared" si="3"/>
        <v>4194.8115907057709</v>
      </c>
      <c r="H7" s="24">
        <f t="shared" si="4"/>
        <v>73.082145562373853</v>
      </c>
      <c r="I7" s="21" t="s">
        <v>95</v>
      </c>
      <c r="J7" s="2">
        <v>121</v>
      </c>
      <c r="K7" s="23">
        <f t="shared" si="5"/>
        <v>4656.6257107834708</v>
      </c>
      <c r="L7" s="24">
        <f t="shared" si="6"/>
        <v>77</v>
      </c>
      <c r="M7" s="22" t="s">
        <v>95</v>
      </c>
      <c r="N7" s="2">
        <v>121</v>
      </c>
      <c r="O7" s="23">
        <f t="shared" si="7"/>
        <v>4656.6257107834708</v>
      </c>
      <c r="P7" s="24">
        <f t="shared" si="8"/>
        <v>77</v>
      </c>
      <c r="Q7" s="25">
        <v>151</v>
      </c>
      <c r="R7" s="26">
        <f t="shared" si="0"/>
        <v>5811.1610109777193</v>
      </c>
      <c r="S7" s="27">
        <f t="shared" si="9"/>
        <v>43.008720046055778</v>
      </c>
      <c r="T7" s="25" t="s">
        <v>96</v>
      </c>
      <c r="U7" s="2">
        <v>6</v>
      </c>
      <c r="V7" s="27">
        <v>86.017440092111556</v>
      </c>
    </row>
    <row r="8" spans="1:22" x14ac:dyDescent="0.3">
      <c r="A8" s="19" t="s">
        <v>97</v>
      </c>
      <c r="B8" s="2">
        <v>109</v>
      </c>
      <c r="C8" s="23">
        <f t="shared" si="1"/>
        <v>4194.8115907057709</v>
      </c>
      <c r="D8" s="24">
        <f t="shared" si="2"/>
        <v>73.082145562373853</v>
      </c>
      <c r="E8" s="20" t="s">
        <v>97</v>
      </c>
      <c r="F8" s="2">
        <v>121</v>
      </c>
      <c r="G8" s="23">
        <f t="shared" si="3"/>
        <v>4656.6257107834708</v>
      </c>
      <c r="H8" s="24">
        <f t="shared" si="4"/>
        <v>77</v>
      </c>
      <c r="I8" s="21" t="s">
        <v>97</v>
      </c>
      <c r="J8" s="2">
        <v>127</v>
      </c>
      <c r="K8" s="23">
        <f t="shared" si="5"/>
        <v>4887.5327708223203</v>
      </c>
      <c r="L8" s="24">
        <f t="shared" si="6"/>
        <v>78.885993687092508</v>
      </c>
      <c r="M8" s="22" t="s">
        <v>97</v>
      </c>
      <c r="N8" s="2">
        <v>127</v>
      </c>
      <c r="O8" s="23">
        <f t="shared" si="7"/>
        <v>4887.5327708223203</v>
      </c>
      <c r="P8" s="24">
        <f t="shared" si="8"/>
        <v>78.885993687092508</v>
      </c>
      <c r="Q8" s="25">
        <v>163</v>
      </c>
      <c r="R8" s="26">
        <v>6272.9751310554193</v>
      </c>
      <c r="S8" s="27">
        <f t="shared" si="9"/>
        <v>44.685008671812966</v>
      </c>
      <c r="T8" s="25" t="s">
        <v>98</v>
      </c>
      <c r="U8" s="2">
        <v>7</v>
      </c>
      <c r="V8" s="27">
        <v>89.370017343625932</v>
      </c>
    </row>
    <row r="9" spans="1:22" x14ac:dyDescent="0.3">
      <c r="A9" s="19" t="s">
        <v>99</v>
      </c>
      <c r="B9" s="2">
        <v>121</v>
      </c>
      <c r="C9" s="23">
        <f t="shared" si="1"/>
        <v>4656.6257107834708</v>
      </c>
      <c r="D9" s="24">
        <f t="shared" si="2"/>
        <v>77</v>
      </c>
      <c r="E9" s="20" t="s">
        <v>99</v>
      </c>
      <c r="F9" s="2">
        <v>127</v>
      </c>
      <c r="G9" s="23">
        <f t="shared" si="3"/>
        <v>4887.5327708223203</v>
      </c>
      <c r="H9" s="24">
        <f t="shared" si="4"/>
        <v>78.885993687092508</v>
      </c>
      <c r="I9" s="21" t="s">
        <v>99</v>
      </c>
      <c r="J9" s="2">
        <v>139</v>
      </c>
      <c r="K9" s="23">
        <f t="shared" si="5"/>
        <v>5349.3468909000203</v>
      </c>
      <c r="L9" s="24">
        <f t="shared" si="6"/>
        <v>82.52878285786116</v>
      </c>
      <c r="M9" s="22" t="s">
        <v>99</v>
      </c>
      <c r="N9" s="2">
        <v>139</v>
      </c>
      <c r="O9" s="23">
        <f t="shared" si="7"/>
        <v>5349.3468909000203</v>
      </c>
      <c r="P9" s="24">
        <f t="shared" si="8"/>
        <v>82.52878285786116</v>
      </c>
      <c r="Q9" s="25">
        <v>187</v>
      </c>
      <c r="R9" s="26">
        <v>7196.6033712108183</v>
      </c>
      <c r="S9" s="27">
        <f t="shared" si="9"/>
        <v>47.861780159120705</v>
      </c>
      <c r="T9" s="25" t="s">
        <v>100</v>
      </c>
      <c r="U9" s="2">
        <v>8</v>
      </c>
      <c r="V9" s="27">
        <v>95.723560318241411</v>
      </c>
    </row>
    <row r="10" spans="1:22" x14ac:dyDescent="0.3">
      <c r="A10" s="19" t="s">
        <v>101</v>
      </c>
      <c r="B10" s="2">
        <v>127</v>
      </c>
      <c r="C10" s="23">
        <f t="shared" si="1"/>
        <v>4887.5327708223203</v>
      </c>
      <c r="D10" s="24">
        <f t="shared" si="2"/>
        <v>78.885993687092508</v>
      </c>
      <c r="E10" s="20" t="s">
        <v>101</v>
      </c>
      <c r="F10" s="2">
        <v>139</v>
      </c>
      <c r="G10" s="23">
        <f t="shared" si="3"/>
        <v>5349.3468909000203</v>
      </c>
      <c r="H10" s="24">
        <f t="shared" si="4"/>
        <v>82.52878285786116</v>
      </c>
      <c r="I10" s="21" t="s">
        <v>101</v>
      </c>
      <c r="J10" s="2">
        <v>151</v>
      </c>
      <c r="K10" s="23">
        <f t="shared" si="5"/>
        <v>5811.1610109777193</v>
      </c>
      <c r="L10" s="24">
        <f t="shared" si="6"/>
        <v>86.017440092111556</v>
      </c>
      <c r="M10" s="22" t="s">
        <v>101</v>
      </c>
      <c r="N10" s="2">
        <v>151</v>
      </c>
      <c r="O10" s="23">
        <f t="shared" si="7"/>
        <v>5811.1610109777193</v>
      </c>
      <c r="P10" s="24">
        <f t="shared" si="8"/>
        <v>86.017440092111556</v>
      </c>
      <c r="Q10" s="25">
        <v>253</v>
      </c>
      <c r="R10" s="26">
        <f>0.25*PI()*7*7*Q10</f>
        <v>9736.5810316381649</v>
      </c>
      <c r="S10" s="27">
        <f t="shared" si="9"/>
        <v>55.670908022054029</v>
      </c>
      <c r="T10" s="25" t="s">
        <v>102</v>
      </c>
      <c r="U10" s="2">
        <v>9</v>
      </c>
      <c r="V10" s="27">
        <v>111.34181604410806</v>
      </c>
    </row>
    <row r="11" spans="1:22" x14ac:dyDescent="0.3">
      <c r="A11" s="19" t="s">
        <v>103</v>
      </c>
      <c r="B11" s="2">
        <v>139</v>
      </c>
      <c r="C11" s="23">
        <f t="shared" si="1"/>
        <v>5349.3468909000203</v>
      </c>
      <c r="D11" s="24">
        <f t="shared" si="2"/>
        <v>82.52878285786116</v>
      </c>
      <c r="E11" s="20" t="s">
        <v>103</v>
      </c>
      <c r="F11" s="2">
        <v>139</v>
      </c>
      <c r="G11" s="23">
        <f t="shared" si="3"/>
        <v>5349.3468909000203</v>
      </c>
      <c r="H11" s="24">
        <f t="shared" si="4"/>
        <v>82.52878285786116</v>
      </c>
      <c r="I11" s="21" t="s">
        <v>103</v>
      </c>
      <c r="J11" s="2">
        <v>163</v>
      </c>
      <c r="K11" s="23">
        <f t="shared" si="5"/>
        <v>6272.9751310554193</v>
      </c>
      <c r="L11" s="24">
        <f t="shared" si="6"/>
        <v>89.370017343625932</v>
      </c>
      <c r="M11" s="22" t="s">
        <v>103</v>
      </c>
      <c r="N11" s="2">
        <v>163</v>
      </c>
      <c r="O11" s="23">
        <f t="shared" si="7"/>
        <v>6272.9751310554193</v>
      </c>
      <c r="P11" s="24">
        <f t="shared" si="8"/>
        <v>89.370017343625932</v>
      </c>
      <c r="Q11" s="24"/>
      <c r="R11" s="2"/>
      <c r="S11" s="2"/>
      <c r="T11" s="2"/>
      <c r="U11" s="2"/>
      <c r="V11" s="2"/>
    </row>
    <row r="12" spans="1:22" x14ac:dyDescent="0.3">
      <c r="A12" s="19" t="s">
        <v>104</v>
      </c>
      <c r="B12" s="2">
        <v>163</v>
      </c>
      <c r="C12" s="23">
        <f t="shared" si="1"/>
        <v>6272.9751310554193</v>
      </c>
      <c r="D12" s="24">
        <f t="shared" si="2"/>
        <v>89.370017343625932</v>
      </c>
      <c r="E12" s="20" t="s">
        <v>104</v>
      </c>
      <c r="F12" s="2">
        <v>151</v>
      </c>
      <c r="G12" s="23">
        <f t="shared" si="3"/>
        <v>5811.1610109777193</v>
      </c>
      <c r="H12" s="24">
        <f t="shared" si="4"/>
        <v>86.017440092111556</v>
      </c>
      <c r="I12" s="21" t="s">
        <v>104</v>
      </c>
      <c r="J12" s="2">
        <v>187</v>
      </c>
      <c r="K12" s="23">
        <f t="shared" si="5"/>
        <v>7196.6033712108183</v>
      </c>
      <c r="L12" s="24">
        <f t="shared" si="6"/>
        <v>95.723560318241411</v>
      </c>
      <c r="M12" s="22" t="s">
        <v>104</v>
      </c>
      <c r="N12" s="2">
        <v>187</v>
      </c>
      <c r="O12" s="23">
        <f t="shared" si="7"/>
        <v>7196.6033712108183</v>
      </c>
      <c r="P12" s="24">
        <f t="shared" si="8"/>
        <v>95.723560318241411</v>
      </c>
      <c r="Q12" s="24"/>
      <c r="R12" s="2"/>
      <c r="S12" s="2"/>
      <c r="T12" s="2"/>
      <c r="U12" s="2"/>
      <c r="V12" s="2"/>
    </row>
    <row r="13" spans="1:22" x14ac:dyDescent="0.3">
      <c r="A13" s="19" t="s">
        <v>105</v>
      </c>
      <c r="B13" s="2">
        <v>187</v>
      </c>
      <c r="C13" s="23">
        <f t="shared" si="1"/>
        <v>7196.6033712108183</v>
      </c>
      <c r="D13" s="24">
        <f t="shared" si="2"/>
        <v>95.723560318241411</v>
      </c>
      <c r="E13" s="20" t="s">
        <v>105</v>
      </c>
      <c r="F13" s="2">
        <v>151</v>
      </c>
      <c r="G13" s="23">
        <f t="shared" si="3"/>
        <v>5811.1610109777193</v>
      </c>
      <c r="H13" s="24">
        <f t="shared" si="4"/>
        <v>86.017440092111556</v>
      </c>
      <c r="I13" s="21" t="s">
        <v>105</v>
      </c>
      <c r="J13" s="2">
        <v>187</v>
      </c>
      <c r="K13" s="23">
        <f t="shared" si="5"/>
        <v>7196.6033712108183</v>
      </c>
      <c r="L13" s="24">
        <f t="shared" si="6"/>
        <v>95.723560318241411</v>
      </c>
      <c r="M13" s="22" t="s">
        <v>105</v>
      </c>
      <c r="N13" s="2">
        <v>187</v>
      </c>
      <c r="O13" s="23">
        <f t="shared" si="7"/>
        <v>7196.6033712108183</v>
      </c>
      <c r="P13" s="24">
        <f t="shared" si="8"/>
        <v>95.723560318241411</v>
      </c>
      <c r="Q13" s="24"/>
      <c r="R13" s="2"/>
      <c r="S13" s="2"/>
      <c r="T13" s="2"/>
      <c r="U13" s="2"/>
      <c r="V13" s="2"/>
    </row>
    <row r="14" spans="1:22" x14ac:dyDescent="0.3">
      <c r="A14" s="19" t="s">
        <v>106</v>
      </c>
      <c r="B14" s="2">
        <v>91</v>
      </c>
      <c r="C14" s="23">
        <f t="shared" si="1"/>
        <v>3502.0904105892218</v>
      </c>
      <c r="D14" s="24">
        <f t="shared" si="2"/>
        <v>66.775744099186198</v>
      </c>
      <c r="E14" s="20" t="s">
        <v>106</v>
      </c>
      <c r="F14" s="2">
        <v>91</v>
      </c>
      <c r="G14" s="23">
        <f t="shared" si="3"/>
        <v>3502.0904105892218</v>
      </c>
      <c r="H14" s="24">
        <f t="shared" si="4"/>
        <v>66.775744099186198</v>
      </c>
      <c r="I14" s="21" t="s">
        <v>106</v>
      </c>
      <c r="J14" s="2">
        <v>91</v>
      </c>
      <c r="K14" s="23">
        <f t="shared" si="5"/>
        <v>3502.0904105892218</v>
      </c>
      <c r="L14" s="24">
        <f t="shared" si="6"/>
        <v>66.775744099186198</v>
      </c>
      <c r="M14" s="22" t="s">
        <v>106</v>
      </c>
      <c r="N14" s="2">
        <v>91</v>
      </c>
      <c r="O14" s="23">
        <f t="shared" si="7"/>
        <v>3502.0904105892218</v>
      </c>
      <c r="P14" s="24">
        <f t="shared" si="8"/>
        <v>66.775744099186198</v>
      </c>
      <c r="Q14" s="24"/>
      <c r="R14" s="2"/>
      <c r="S14" s="2"/>
      <c r="T14" s="2"/>
      <c r="U14" s="2"/>
      <c r="V14" s="2"/>
    </row>
    <row r="15" spans="1:22" x14ac:dyDescent="0.3">
      <c r="A15" s="19" t="s">
        <v>107</v>
      </c>
      <c r="B15" s="2">
        <v>91</v>
      </c>
      <c r="C15" s="23">
        <f t="shared" si="1"/>
        <v>3502.0904105892218</v>
      </c>
      <c r="D15" s="24">
        <f t="shared" si="2"/>
        <v>66.775744099186198</v>
      </c>
      <c r="E15" s="20" t="s">
        <v>107</v>
      </c>
      <c r="F15" s="2">
        <v>91</v>
      </c>
      <c r="G15" s="23">
        <f t="shared" si="3"/>
        <v>3502.0904105892218</v>
      </c>
      <c r="H15" s="24">
        <f t="shared" si="4"/>
        <v>66.775744099186198</v>
      </c>
      <c r="I15" s="21" t="s">
        <v>107</v>
      </c>
      <c r="J15" s="2">
        <v>91</v>
      </c>
      <c r="K15" s="23">
        <f t="shared" si="5"/>
        <v>3502.0904105892218</v>
      </c>
      <c r="L15" s="24">
        <f t="shared" si="6"/>
        <v>66.775744099186198</v>
      </c>
      <c r="M15" s="22" t="s">
        <v>107</v>
      </c>
      <c r="N15" s="2">
        <v>91</v>
      </c>
      <c r="O15" s="23">
        <f t="shared" si="7"/>
        <v>3502.0904105892218</v>
      </c>
      <c r="P15" s="24">
        <f t="shared" si="8"/>
        <v>66.775744099186198</v>
      </c>
      <c r="Q15" s="24"/>
      <c r="R15" s="2"/>
      <c r="S15" s="2"/>
      <c r="T15" s="2"/>
      <c r="U15" s="2"/>
      <c r="V15" s="2"/>
    </row>
    <row r="16" spans="1:22" x14ac:dyDescent="0.3">
      <c r="A16" s="19" t="s">
        <v>108</v>
      </c>
      <c r="B16" s="2">
        <v>91</v>
      </c>
      <c r="C16" s="23">
        <f t="shared" si="1"/>
        <v>3502.0904105892218</v>
      </c>
      <c r="D16" s="24">
        <f t="shared" si="2"/>
        <v>66.775744099186198</v>
      </c>
      <c r="E16" s="20" t="s">
        <v>108</v>
      </c>
      <c r="F16" s="2">
        <v>91</v>
      </c>
      <c r="G16" s="23">
        <f t="shared" si="3"/>
        <v>3502.0904105892218</v>
      </c>
      <c r="H16" s="24">
        <f t="shared" si="4"/>
        <v>66.775744099186198</v>
      </c>
      <c r="I16" s="21" t="s">
        <v>108</v>
      </c>
      <c r="J16" s="2">
        <v>91</v>
      </c>
      <c r="K16" s="23">
        <f t="shared" si="5"/>
        <v>3502.0904105892218</v>
      </c>
      <c r="L16" s="24">
        <f t="shared" si="6"/>
        <v>66.775744099186198</v>
      </c>
      <c r="M16" s="22" t="s">
        <v>108</v>
      </c>
      <c r="N16" s="2">
        <v>91</v>
      </c>
      <c r="O16" s="23">
        <f t="shared" si="7"/>
        <v>3502.0904105892218</v>
      </c>
      <c r="P16" s="24">
        <f t="shared" si="8"/>
        <v>66.775744099186198</v>
      </c>
      <c r="Q16" s="24"/>
      <c r="R16" s="2"/>
      <c r="S16" s="2"/>
      <c r="T16" s="2"/>
      <c r="U16" s="2"/>
      <c r="V16" s="2"/>
    </row>
    <row r="17" spans="1:22" x14ac:dyDescent="0.3">
      <c r="A17" s="19" t="s">
        <v>109</v>
      </c>
      <c r="B17" s="2">
        <v>109</v>
      </c>
      <c r="C17" s="23">
        <f t="shared" si="1"/>
        <v>4194.8115907057709</v>
      </c>
      <c r="D17" s="24">
        <f t="shared" si="2"/>
        <v>73.082145562373853</v>
      </c>
      <c r="E17" s="20" t="s">
        <v>109</v>
      </c>
      <c r="F17" s="2">
        <v>109</v>
      </c>
      <c r="G17" s="23">
        <f t="shared" si="3"/>
        <v>4194.8115907057709</v>
      </c>
      <c r="H17" s="24">
        <f t="shared" si="4"/>
        <v>73.082145562373853</v>
      </c>
      <c r="I17" s="21" t="s">
        <v>109</v>
      </c>
      <c r="J17" s="2">
        <v>109</v>
      </c>
      <c r="K17" s="23">
        <f t="shared" si="5"/>
        <v>4194.8115907057709</v>
      </c>
      <c r="L17" s="24">
        <f t="shared" si="6"/>
        <v>73.082145562373853</v>
      </c>
      <c r="M17" s="22" t="s">
        <v>109</v>
      </c>
      <c r="N17" s="2">
        <v>109</v>
      </c>
      <c r="O17" s="23">
        <f t="shared" si="7"/>
        <v>4194.8115907057709</v>
      </c>
      <c r="P17" s="24">
        <f t="shared" si="8"/>
        <v>73.082145562373853</v>
      </c>
      <c r="Q17" s="24"/>
      <c r="R17" s="2"/>
      <c r="S17" s="2"/>
      <c r="T17" s="2"/>
      <c r="U17" s="2"/>
      <c r="V17" s="2"/>
    </row>
    <row r="18" spans="1:22" x14ac:dyDescent="0.3">
      <c r="A18" s="19" t="s">
        <v>110</v>
      </c>
      <c r="B18" s="2">
        <v>109</v>
      </c>
      <c r="C18" s="23">
        <f t="shared" si="1"/>
        <v>4194.8115907057709</v>
      </c>
      <c r="D18" s="24">
        <f t="shared" si="2"/>
        <v>73.082145562373853</v>
      </c>
      <c r="E18" s="20" t="s">
        <v>110</v>
      </c>
      <c r="F18" s="2">
        <v>109</v>
      </c>
      <c r="G18" s="23">
        <f t="shared" si="3"/>
        <v>4194.8115907057709</v>
      </c>
      <c r="H18" s="24">
        <f t="shared" si="4"/>
        <v>73.082145562373853</v>
      </c>
      <c r="I18" s="21" t="s">
        <v>110</v>
      </c>
      <c r="J18" s="2">
        <v>109</v>
      </c>
      <c r="K18" s="23">
        <f t="shared" si="5"/>
        <v>4194.8115907057709</v>
      </c>
      <c r="L18" s="24">
        <f t="shared" si="6"/>
        <v>73.082145562373853</v>
      </c>
      <c r="M18" s="22" t="s">
        <v>110</v>
      </c>
      <c r="N18" s="2">
        <v>109</v>
      </c>
      <c r="O18" s="23">
        <f t="shared" si="7"/>
        <v>4194.8115907057709</v>
      </c>
      <c r="P18" s="24">
        <f t="shared" si="8"/>
        <v>73.082145562373853</v>
      </c>
      <c r="Q18" s="24"/>
      <c r="R18" s="2"/>
      <c r="S18" s="2"/>
      <c r="T18" s="2"/>
      <c r="U18" s="2"/>
      <c r="V18" s="2"/>
    </row>
    <row r="19" spans="1:22" x14ac:dyDescent="0.3">
      <c r="A19" s="19" t="s">
        <v>111</v>
      </c>
      <c r="B19" s="2">
        <v>109</v>
      </c>
      <c r="C19" s="23">
        <f t="shared" si="1"/>
        <v>4194.8115907057709</v>
      </c>
      <c r="D19" s="24">
        <f t="shared" si="2"/>
        <v>73.082145562373853</v>
      </c>
      <c r="E19" s="20" t="s">
        <v>111</v>
      </c>
      <c r="F19" s="2">
        <v>109</v>
      </c>
      <c r="G19" s="23">
        <f t="shared" si="3"/>
        <v>4194.8115907057709</v>
      </c>
      <c r="H19" s="24">
        <f t="shared" si="4"/>
        <v>73.082145562373853</v>
      </c>
      <c r="I19" s="21" t="s">
        <v>111</v>
      </c>
      <c r="J19" s="2">
        <v>121</v>
      </c>
      <c r="K19" s="23">
        <f t="shared" si="5"/>
        <v>4656.6257107834708</v>
      </c>
      <c r="L19" s="24">
        <f t="shared" si="6"/>
        <v>77</v>
      </c>
      <c r="M19" s="22" t="s">
        <v>111</v>
      </c>
      <c r="N19" s="2">
        <v>121</v>
      </c>
      <c r="O19" s="23">
        <f t="shared" si="7"/>
        <v>4656.6257107834708</v>
      </c>
      <c r="P19" s="24">
        <f t="shared" si="8"/>
        <v>77</v>
      </c>
      <c r="Q19" s="24"/>
      <c r="R19" s="2"/>
      <c r="S19" s="2"/>
      <c r="T19" s="2"/>
      <c r="U19" s="2"/>
      <c r="V19" s="2"/>
    </row>
    <row r="20" spans="1:22" x14ac:dyDescent="0.3">
      <c r="A20" s="19" t="s">
        <v>112</v>
      </c>
      <c r="B20" s="2">
        <v>121</v>
      </c>
      <c r="C20" s="23">
        <f t="shared" si="1"/>
        <v>4656.6257107834708</v>
      </c>
      <c r="D20" s="24">
        <f t="shared" si="2"/>
        <v>77</v>
      </c>
      <c r="E20" s="20" t="s">
        <v>112</v>
      </c>
      <c r="F20" s="2">
        <v>121</v>
      </c>
      <c r="G20" s="23">
        <f t="shared" si="3"/>
        <v>4656.6257107834708</v>
      </c>
      <c r="H20" s="24">
        <f t="shared" si="4"/>
        <v>77</v>
      </c>
      <c r="I20" s="21" t="s">
        <v>112</v>
      </c>
      <c r="J20" s="2">
        <v>127</v>
      </c>
      <c r="K20" s="23">
        <f t="shared" si="5"/>
        <v>4887.5327708223203</v>
      </c>
      <c r="L20" s="24">
        <f t="shared" si="6"/>
        <v>78.885993687092508</v>
      </c>
      <c r="M20" s="22" t="s">
        <v>112</v>
      </c>
      <c r="N20" s="2">
        <v>127</v>
      </c>
      <c r="O20" s="23">
        <f t="shared" si="7"/>
        <v>4887.5327708223203</v>
      </c>
      <c r="P20" s="24">
        <f t="shared" si="8"/>
        <v>78.885993687092508</v>
      </c>
      <c r="Q20" s="24"/>
      <c r="R20" s="2"/>
      <c r="S20" s="2"/>
      <c r="T20" s="2"/>
      <c r="U20" s="2"/>
      <c r="V20" s="2"/>
    </row>
    <row r="21" spans="1:22" x14ac:dyDescent="0.3">
      <c r="A21" s="19" t="s">
        <v>113</v>
      </c>
      <c r="B21" s="2">
        <v>127</v>
      </c>
      <c r="C21" s="23">
        <f t="shared" si="1"/>
        <v>4887.5327708223203</v>
      </c>
      <c r="D21" s="24">
        <f t="shared" si="2"/>
        <v>78.885993687092508</v>
      </c>
      <c r="E21" s="20" t="s">
        <v>113</v>
      </c>
      <c r="F21" s="2">
        <v>127</v>
      </c>
      <c r="G21" s="23">
        <f t="shared" si="3"/>
        <v>4887.5327708223203</v>
      </c>
      <c r="H21" s="24">
        <f t="shared" si="4"/>
        <v>78.885993687092508</v>
      </c>
      <c r="I21" s="21" t="s">
        <v>113</v>
      </c>
      <c r="J21" s="2">
        <v>139</v>
      </c>
      <c r="K21" s="23">
        <f t="shared" si="5"/>
        <v>5349.3468909000203</v>
      </c>
      <c r="L21" s="24">
        <f t="shared" si="6"/>
        <v>82.52878285786116</v>
      </c>
      <c r="M21" s="22" t="s">
        <v>113</v>
      </c>
      <c r="N21" s="2">
        <v>139</v>
      </c>
      <c r="O21" s="23">
        <f t="shared" si="7"/>
        <v>5349.3468909000203</v>
      </c>
      <c r="P21" s="24">
        <f t="shared" si="8"/>
        <v>82.52878285786116</v>
      </c>
      <c r="Q21" s="24"/>
      <c r="R21" s="2"/>
      <c r="S21" s="2"/>
      <c r="T21" s="2"/>
      <c r="U21" s="2"/>
      <c r="V21" s="2"/>
    </row>
    <row r="22" spans="1:22" x14ac:dyDescent="0.3">
      <c r="A22" s="19" t="s">
        <v>114</v>
      </c>
      <c r="B22" s="2">
        <v>139</v>
      </c>
      <c r="C22" s="23">
        <f t="shared" si="1"/>
        <v>5349.3468909000203</v>
      </c>
      <c r="D22" s="24">
        <f t="shared" si="2"/>
        <v>82.52878285786116</v>
      </c>
      <c r="E22" s="20" t="s">
        <v>114</v>
      </c>
      <c r="F22" s="2">
        <v>139</v>
      </c>
      <c r="G22" s="23">
        <f t="shared" si="3"/>
        <v>5349.3468909000203</v>
      </c>
      <c r="H22" s="24">
        <f t="shared" si="4"/>
        <v>82.52878285786116</v>
      </c>
      <c r="I22" s="21" t="s">
        <v>114</v>
      </c>
      <c r="J22" s="2">
        <v>151</v>
      </c>
      <c r="K22" s="23">
        <f t="shared" si="5"/>
        <v>5811.1610109777193</v>
      </c>
      <c r="L22" s="24">
        <f t="shared" si="6"/>
        <v>86.017440092111556</v>
      </c>
      <c r="M22" s="22" t="s">
        <v>114</v>
      </c>
      <c r="N22" s="2">
        <v>151</v>
      </c>
      <c r="O22" s="23">
        <f t="shared" si="7"/>
        <v>5811.1610109777193</v>
      </c>
      <c r="P22" s="24">
        <f t="shared" si="8"/>
        <v>86.017440092111556</v>
      </c>
      <c r="Q22" s="24"/>
      <c r="R22" s="2"/>
      <c r="S22" s="2"/>
      <c r="T22" s="2"/>
      <c r="U22" s="2"/>
      <c r="V22" s="2"/>
    </row>
    <row r="23" spans="1:22" x14ac:dyDescent="0.3">
      <c r="A23" s="19" t="s">
        <v>115</v>
      </c>
      <c r="B23" s="2">
        <v>139</v>
      </c>
      <c r="C23" s="23">
        <f t="shared" si="1"/>
        <v>5349.3468909000203</v>
      </c>
      <c r="D23" s="24">
        <f t="shared" si="2"/>
        <v>82.52878285786116</v>
      </c>
      <c r="E23" s="20" t="s">
        <v>115</v>
      </c>
      <c r="F23" s="2">
        <v>139</v>
      </c>
      <c r="G23" s="23">
        <f t="shared" si="3"/>
        <v>5349.3468909000203</v>
      </c>
      <c r="H23" s="24">
        <f t="shared" si="4"/>
        <v>82.52878285786116</v>
      </c>
      <c r="I23" s="21" t="s">
        <v>115</v>
      </c>
      <c r="J23" s="2">
        <v>163</v>
      </c>
      <c r="K23" s="23">
        <f t="shared" si="5"/>
        <v>6272.9751310554193</v>
      </c>
      <c r="L23" s="24">
        <f t="shared" si="6"/>
        <v>89.370017343625932</v>
      </c>
      <c r="M23" s="22" t="s">
        <v>115</v>
      </c>
      <c r="N23" s="2">
        <v>163</v>
      </c>
      <c r="O23" s="23">
        <f t="shared" si="7"/>
        <v>6272.9751310554193</v>
      </c>
      <c r="P23" s="24">
        <f t="shared" si="8"/>
        <v>89.370017343625932</v>
      </c>
      <c r="Q23" s="24"/>
      <c r="R23" s="2"/>
      <c r="S23" s="2"/>
      <c r="T23" s="2"/>
      <c r="U23" s="2"/>
      <c r="V23" s="2"/>
    </row>
    <row r="24" spans="1:22" x14ac:dyDescent="0.3">
      <c r="A24" s="19" t="s">
        <v>116</v>
      </c>
      <c r="B24" s="2">
        <v>151</v>
      </c>
      <c r="C24" s="23">
        <f t="shared" si="1"/>
        <v>5811.1610109777193</v>
      </c>
      <c r="D24" s="24">
        <f t="shared" si="2"/>
        <v>86.017440092111556</v>
      </c>
      <c r="E24" s="20" t="s">
        <v>116</v>
      </c>
      <c r="F24" s="2">
        <v>151</v>
      </c>
      <c r="G24" s="23">
        <f t="shared" si="3"/>
        <v>5811.1610109777193</v>
      </c>
      <c r="H24" s="24">
        <f t="shared" si="4"/>
        <v>86.017440092111556</v>
      </c>
      <c r="I24" s="21" t="s">
        <v>116</v>
      </c>
      <c r="J24" s="2">
        <v>187</v>
      </c>
      <c r="K24" s="23">
        <f t="shared" si="5"/>
        <v>7196.6033712108183</v>
      </c>
      <c r="L24" s="24">
        <f t="shared" si="6"/>
        <v>95.723560318241411</v>
      </c>
      <c r="M24" s="22" t="s">
        <v>116</v>
      </c>
      <c r="N24" s="2">
        <v>187</v>
      </c>
      <c r="O24" s="23">
        <f t="shared" si="7"/>
        <v>7196.6033712108183</v>
      </c>
      <c r="P24" s="24">
        <f t="shared" si="8"/>
        <v>95.723560318241411</v>
      </c>
      <c r="Q24" s="24"/>
      <c r="R24" s="2"/>
      <c r="S24" s="2"/>
      <c r="T24" s="2"/>
      <c r="U24" s="2"/>
      <c r="V24" s="2"/>
    </row>
    <row r="25" spans="1:22" x14ac:dyDescent="0.3">
      <c r="A25" s="19" t="s">
        <v>117</v>
      </c>
      <c r="B25" s="2">
        <v>151</v>
      </c>
      <c r="C25" s="23">
        <f t="shared" si="1"/>
        <v>5811.1610109777193</v>
      </c>
      <c r="D25" s="24">
        <f t="shared" si="2"/>
        <v>86.017440092111556</v>
      </c>
      <c r="E25" s="20" t="s">
        <v>117</v>
      </c>
      <c r="F25" s="2">
        <v>151</v>
      </c>
      <c r="G25" s="23">
        <f t="shared" si="3"/>
        <v>5811.1610109777193</v>
      </c>
      <c r="H25" s="24">
        <f t="shared" si="4"/>
        <v>86.017440092111556</v>
      </c>
      <c r="I25" s="21" t="s">
        <v>117</v>
      </c>
      <c r="J25" s="2">
        <v>253</v>
      </c>
      <c r="K25" s="23">
        <f t="shared" si="5"/>
        <v>9736.5810316381649</v>
      </c>
      <c r="L25" s="24">
        <f t="shared" si="6"/>
        <v>111.34181604410806</v>
      </c>
      <c r="M25" s="22" t="s">
        <v>117</v>
      </c>
      <c r="N25" s="2">
        <v>253</v>
      </c>
      <c r="O25" s="23">
        <f t="shared" si="7"/>
        <v>9736.5810316381649</v>
      </c>
      <c r="P25" s="24">
        <f t="shared" si="8"/>
        <v>111.34181604410806</v>
      </c>
      <c r="Q25" s="24"/>
      <c r="R25" s="2"/>
      <c r="S25" s="2"/>
      <c r="T25" s="2"/>
      <c r="U25" s="2"/>
      <c r="V25" s="2"/>
    </row>
    <row r="26" spans="1:22" x14ac:dyDescent="0.3">
      <c r="A26" s="19" t="s">
        <v>118</v>
      </c>
      <c r="B26" s="2">
        <v>91</v>
      </c>
      <c r="C26" s="23">
        <f t="shared" si="1"/>
        <v>3502.0904105892218</v>
      </c>
      <c r="D26" s="23"/>
      <c r="E26" s="20" t="s">
        <v>118</v>
      </c>
      <c r="F26" s="2">
        <v>91</v>
      </c>
      <c r="G26" s="23">
        <f t="shared" si="3"/>
        <v>3502.0904105892218</v>
      </c>
      <c r="H26" s="23"/>
      <c r="I26" s="21" t="s">
        <v>118</v>
      </c>
      <c r="J26" s="2">
        <v>91</v>
      </c>
      <c r="K26" s="23">
        <f t="shared" si="5"/>
        <v>3502.0904105892218</v>
      </c>
      <c r="L26" s="23"/>
      <c r="M26" s="22" t="s">
        <v>118</v>
      </c>
      <c r="N26" s="2">
        <v>91</v>
      </c>
      <c r="O26" s="23">
        <f t="shared" si="7"/>
        <v>3502.0904105892218</v>
      </c>
      <c r="P26" s="23"/>
      <c r="Q26" s="23"/>
      <c r="R26" s="2"/>
      <c r="S26" s="2"/>
      <c r="T26" s="2"/>
      <c r="U26" s="2"/>
      <c r="V26" s="2"/>
    </row>
    <row r="27" spans="1:22" x14ac:dyDescent="0.3">
      <c r="A27" s="28" t="s">
        <v>119</v>
      </c>
      <c r="B27" s="2">
        <v>91</v>
      </c>
      <c r="C27" s="23">
        <f t="shared" si="1"/>
        <v>3502.0904105892218</v>
      </c>
      <c r="D27" s="23"/>
      <c r="E27" s="29" t="s">
        <v>119</v>
      </c>
      <c r="F27" s="2">
        <v>91</v>
      </c>
      <c r="G27" s="23">
        <f t="shared" si="3"/>
        <v>3502.0904105892218</v>
      </c>
      <c r="H27" s="23"/>
      <c r="I27" s="30" t="s">
        <v>119</v>
      </c>
      <c r="J27" s="2">
        <v>91</v>
      </c>
      <c r="K27" s="23">
        <f t="shared" si="5"/>
        <v>3502.0904105892218</v>
      </c>
      <c r="L27" s="23"/>
      <c r="M27" s="31" t="s">
        <v>119</v>
      </c>
      <c r="N27" s="2">
        <v>91</v>
      </c>
      <c r="O27" s="23">
        <f t="shared" si="7"/>
        <v>3502.0904105892218</v>
      </c>
      <c r="P27" s="23"/>
      <c r="Q27" s="23"/>
      <c r="R27" s="2"/>
      <c r="S27" s="2"/>
      <c r="T27" s="2"/>
      <c r="U27" s="2"/>
      <c r="V27" s="2"/>
    </row>
    <row r="28" spans="1:22" x14ac:dyDescent="0.3">
      <c r="A28" s="19" t="s">
        <v>120</v>
      </c>
      <c r="B28" s="2">
        <v>91</v>
      </c>
      <c r="C28" s="23">
        <f t="shared" si="1"/>
        <v>3502.0904105892218</v>
      </c>
      <c r="D28" s="23"/>
      <c r="E28" s="20" t="s">
        <v>120</v>
      </c>
      <c r="F28" s="2">
        <v>91</v>
      </c>
      <c r="G28" s="23">
        <f t="shared" si="3"/>
        <v>3502.0904105892218</v>
      </c>
      <c r="H28" s="23"/>
      <c r="I28" s="21" t="s">
        <v>120</v>
      </c>
      <c r="J28" s="2">
        <v>91</v>
      </c>
      <c r="K28" s="23">
        <f t="shared" si="5"/>
        <v>3502.0904105892218</v>
      </c>
      <c r="L28" s="23"/>
      <c r="M28" s="22" t="s">
        <v>120</v>
      </c>
      <c r="N28" s="2">
        <v>91</v>
      </c>
      <c r="O28" s="23">
        <f t="shared" si="7"/>
        <v>3502.0904105892218</v>
      </c>
      <c r="P28" s="23"/>
      <c r="Q28" s="23"/>
      <c r="R28" s="2"/>
      <c r="S28" s="2"/>
      <c r="T28" s="2"/>
      <c r="U28" s="2"/>
      <c r="V28" s="2"/>
    </row>
    <row r="29" spans="1:22" x14ac:dyDescent="0.3">
      <c r="A29" s="28" t="s">
        <v>121</v>
      </c>
      <c r="B29" s="2">
        <v>109</v>
      </c>
      <c r="C29" s="23">
        <f t="shared" si="1"/>
        <v>4194.8115907057709</v>
      </c>
      <c r="D29" s="23"/>
      <c r="E29" s="29" t="s">
        <v>121</v>
      </c>
      <c r="F29" s="2">
        <v>109</v>
      </c>
      <c r="G29" s="23">
        <f t="shared" si="3"/>
        <v>4194.8115907057709</v>
      </c>
      <c r="H29" s="23"/>
      <c r="I29" s="30" t="s">
        <v>121</v>
      </c>
      <c r="J29" s="2">
        <v>109</v>
      </c>
      <c r="K29" s="23">
        <f t="shared" si="5"/>
        <v>4194.8115907057709</v>
      </c>
      <c r="L29" s="23"/>
      <c r="M29" s="31" t="s">
        <v>121</v>
      </c>
      <c r="N29" s="2">
        <v>109</v>
      </c>
      <c r="O29" s="23">
        <f t="shared" si="7"/>
        <v>4194.8115907057709</v>
      </c>
      <c r="P29" s="23"/>
      <c r="Q29" s="23"/>
      <c r="R29" s="2"/>
      <c r="S29" s="2"/>
      <c r="T29" s="2"/>
      <c r="U29" s="2"/>
      <c r="V29" s="2"/>
    </row>
    <row r="30" spans="1:22" x14ac:dyDescent="0.3">
      <c r="A30" s="19" t="s">
        <v>122</v>
      </c>
      <c r="B30" s="2">
        <v>109</v>
      </c>
      <c r="C30" s="23">
        <f t="shared" si="1"/>
        <v>4194.8115907057709</v>
      </c>
      <c r="D30" s="23"/>
      <c r="E30" s="20" t="s">
        <v>122</v>
      </c>
      <c r="F30" s="2">
        <v>109</v>
      </c>
      <c r="G30" s="23">
        <f t="shared" si="3"/>
        <v>4194.8115907057709</v>
      </c>
      <c r="H30" s="23"/>
      <c r="I30" s="21" t="s">
        <v>122</v>
      </c>
      <c r="J30" s="2">
        <v>109</v>
      </c>
      <c r="K30" s="23">
        <f t="shared" si="5"/>
        <v>4194.8115907057709</v>
      </c>
      <c r="L30" s="23"/>
      <c r="M30" s="22" t="s">
        <v>122</v>
      </c>
      <c r="N30" s="2">
        <v>109</v>
      </c>
      <c r="O30" s="23">
        <f t="shared" si="7"/>
        <v>4194.8115907057709</v>
      </c>
      <c r="P30" s="23"/>
      <c r="Q30" s="23"/>
      <c r="R30" s="2"/>
      <c r="S30" s="2"/>
      <c r="T30" s="2"/>
      <c r="U30" s="2"/>
      <c r="V30" s="2"/>
    </row>
    <row r="31" spans="1:22" x14ac:dyDescent="0.3">
      <c r="A31" s="28" t="s">
        <v>123</v>
      </c>
      <c r="B31" s="2">
        <v>109</v>
      </c>
      <c r="C31" s="23">
        <f t="shared" si="1"/>
        <v>4194.8115907057709</v>
      </c>
      <c r="D31" s="23"/>
      <c r="E31" s="29" t="s">
        <v>123</v>
      </c>
      <c r="F31" s="2">
        <v>109</v>
      </c>
      <c r="G31" s="23">
        <f t="shared" si="3"/>
        <v>4194.8115907057709</v>
      </c>
      <c r="H31" s="23"/>
      <c r="I31" s="30" t="s">
        <v>123</v>
      </c>
      <c r="J31" s="2">
        <v>121</v>
      </c>
      <c r="K31" s="23">
        <f t="shared" si="5"/>
        <v>4656.6257107834708</v>
      </c>
      <c r="L31" s="23"/>
      <c r="M31" s="31" t="s">
        <v>123</v>
      </c>
      <c r="N31" s="2">
        <v>121</v>
      </c>
      <c r="O31" s="23">
        <f t="shared" si="7"/>
        <v>4656.6257107834708</v>
      </c>
      <c r="P31" s="23"/>
      <c r="Q31" s="23"/>
      <c r="R31" s="2"/>
      <c r="S31" s="2"/>
      <c r="T31" s="2"/>
      <c r="U31" s="2"/>
      <c r="V31" s="2"/>
    </row>
    <row r="32" spans="1:22" x14ac:dyDescent="0.3">
      <c r="A32" s="19" t="s">
        <v>124</v>
      </c>
      <c r="B32" s="2">
        <v>109</v>
      </c>
      <c r="C32" s="23">
        <f t="shared" si="1"/>
        <v>4194.8115907057709</v>
      </c>
      <c r="D32" s="23"/>
      <c r="E32" s="20" t="s">
        <v>124</v>
      </c>
      <c r="F32" s="2">
        <v>121</v>
      </c>
      <c r="G32" s="23">
        <f t="shared" si="3"/>
        <v>4656.6257107834708</v>
      </c>
      <c r="H32" s="23"/>
      <c r="I32" s="21" t="s">
        <v>124</v>
      </c>
      <c r="J32" s="2">
        <v>127</v>
      </c>
      <c r="K32" s="23">
        <f t="shared" si="5"/>
        <v>4887.5327708223203</v>
      </c>
      <c r="L32" s="23"/>
      <c r="M32" s="22" t="s">
        <v>124</v>
      </c>
      <c r="N32" s="2">
        <v>127</v>
      </c>
      <c r="O32" s="23">
        <f t="shared" si="7"/>
        <v>4887.5327708223203</v>
      </c>
      <c r="P32" s="23"/>
      <c r="Q32" s="23"/>
      <c r="R32" s="2"/>
      <c r="S32" s="2"/>
      <c r="T32" s="2"/>
      <c r="U32" s="2"/>
      <c r="V32" s="2"/>
    </row>
    <row r="33" spans="1:22" x14ac:dyDescent="0.3">
      <c r="A33" s="28" t="s">
        <v>125</v>
      </c>
      <c r="B33" s="2">
        <v>121</v>
      </c>
      <c r="C33" s="23">
        <f t="shared" si="1"/>
        <v>4656.6257107834708</v>
      </c>
      <c r="D33" s="23"/>
      <c r="E33" s="29" t="s">
        <v>125</v>
      </c>
      <c r="F33" s="2">
        <v>127</v>
      </c>
      <c r="G33" s="23">
        <f t="shared" si="3"/>
        <v>4887.5327708223203</v>
      </c>
      <c r="H33" s="23"/>
      <c r="I33" s="30" t="s">
        <v>125</v>
      </c>
      <c r="J33" s="2">
        <v>139</v>
      </c>
      <c r="K33" s="23">
        <f t="shared" si="5"/>
        <v>5349.3468909000203</v>
      </c>
      <c r="L33" s="23"/>
      <c r="M33" s="31" t="s">
        <v>125</v>
      </c>
      <c r="N33" s="2">
        <v>139</v>
      </c>
      <c r="O33" s="23">
        <f t="shared" si="7"/>
        <v>5349.3468909000203</v>
      </c>
      <c r="P33" s="23"/>
      <c r="Q33" s="23"/>
      <c r="R33" s="2"/>
      <c r="S33" s="2"/>
      <c r="T33" s="2"/>
      <c r="U33" s="2"/>
      <c r="V33" s="2"/>
    </row>
    <row r="34" spans="1:22" x14ac:dyDescent="0.3">
      <c r="A34" s="19" t="s">
        <v>126</v>
      </c>
      <c r="B34" s="2">
        <v>127</v>
      </c>
      <c r="C34" s="23">
        <f t="shared" si="1"/>
        <v>4887.5327708223203</v>
      </c>
      <c r="D34" s="23"/>
      <c r="E34" s="20" t="s">
        <v>126</v>
      </c>
      <c r="F34" s="2">
        <v>139</v>
      </c>
      <c r="G34" s="23">
        <f t="shared" si="3"/>
        <v>5349.3468909000203</v>
      </c>
      <c r="H34" s="23"/>
      <c r="I34" s="21" t="s">
        <v>126</v>
      </c>
      <c r="J34" s="2">
        <v>151</v>
      </c>
      <c r="K34" s="23">
        <f t="shared" si="5"/>
        <v>5811.1610109777193</v>
      </c>
      <c r="L34" s="23"/>
      <c r="M34" s="22" t="s">
        <v>126</v>
      </c>
      <c r="N34" s="2">
        <v>151</v>
      </c>
      <c r="O34" s="23">
        <f t="shared" si="7"/>
        <v>5811.1610109777193</v>
      </c>
      <c r="P34" s="23"/>
      <c r="Q34" s="23"/>
      <c r="R34" s="2"/>
      <c r="S34" s="2"/>
      <c r="T34" s="2"/>
      <c r="U34" s="2"/>
      <c r="V34" s="2"/>
    </row>
    <row r="35" spans="1:22" x14ac:dyDescent="0.3">
      <c r="A35" s="28" t="s">
        <v>127</v>
      </c>
      <c r="B35" s="2">
        <v>139</v>
      </c>
      <c r="C35" s="23">
        <f t="shared" si="1"/>
        <v>5349.3468909000203</v>
      </c>
      <c r="D35" s="23"/>
      <c r="E35" s="29" t="s">
        <v>127</v>
      </c>
      <c r="F35" s="2">
        <v>139</v>
      </c>
      <c r="G35" s="23">
        <f t="shared" si="3"/>
        <v>5349.3468909000203</v>
      </c>
      <c r="H35" s="23"/>
      <c r="I35" s="30" t="s">
        <v>127</v>
      </c>
      <c r="J35" s="2">
        <v>163</v>
      </c>
      <c r="K35" s="23">
        <f t="shared" si="5"/>
        <v>6272.9751310554193</v>
      </c>
      <c r="L35" s="23"/>
      <c r="M35" s="31" t="s">
        <v>127</v>
      </c>
      <c r="N35" s="2">
        <v>163</v>
      </c>
      <c r="O35" s="23">
        <f t="shared" si="7"/>
        <v>6272.9751310554193</v>
      </c>
      <c r="P35" s="23"/>
      <c r="Q35" s="23"/>
      <c r="R35" s="2"/>
      <c r="S35" s="2"/>
      <c r="T35" s="2"/>
      <c r="U35" s="2"/>
      <c r="V35" s="2"/>
    </row>
    <row r="36" spans="1:22" x14ac:dyDescent="0.3">
      <c r="A36" s="19" t="s">
        <v>128</v>
      </c>
      <c r="B36" s="2">
        <v>163</v>
      </c>
      <c r="C36" s="23">
        <f t="shared" si="1"/>
        <v>6272.9751310554193</v>
      </c>
      <c r="D36" s="23"/>
      <c r="E36" s="20" t="s">
        <v>128</v>
      </c>
      <c r="F36" s="2">
        <v>151</v>
      </c>
      <c r="G36" s="23">
        <f t="shared" si="3"/>
        <v>5811.1610109777193</v>
      </c>
      <c r="H36" s="23"/>
      <c r="I36" s="21" t="s">
        <v>128</v>
      </c>
      <c r="J36" s="2">
        <v>187</v>
      </c>
      <c r="K36" s="23">
        <f t="shared" si="5"/>
        <v>7196.6033712108183</v>
      </c>
      <c r="L36" s="23"/>
      <c r="M36" s="22" t="s">
        <v>128</v>
      </c>
      <c r="N36" s="2">
        <v>187</v>
      </c>
      <c r="O36" s="23">
        <f t="shared" si="7"/>
        <v>7196.6033712108183</v>
      </c>
      <c r="P36" s="23"/>
      <c r="Q36" s="23"/>
      <c r="R36" s="2"/>
      <c r="S36" s="2"/>
      <c r="T36" s="2"/>
      <c r="U36" s="2"/>
      <c r="V36" s="2"/>
    </row>
    <row r="37" spans="1:22" x14ac:dyDescent="0.3">
      <c r="A37" s="28" t="s">
        <v>129</v>
      </c>
      <c r="B37" s="2">
        <v>187</v>
      </c>
      <c r="C37" s="23">
        <f t="shared" si="1"/>
        <v>7196.6033712108183</v>
      </c>
      <c r="D37" s="23"/>
      <c r="E37" s="29" t="s">
        <v>129</v>
      </c>
      <c r="F37" s="2">
        <v>151</v>
      </c>
      <c r="G37" s="23">
        <f t="shared" si="3"/>
        <v>5811.1610109777193</v>
      </c>
      <c r="H37" s="23"/>
      <c r="I37" s="30" t="s">
        <v>129</v>
      </c>
      <c r="J37" s="2">
        <v>187</v>
      </c>
      <c r="K37" s="23">
        <f t="shared" si="5"/>
        <v>7196.6033712108183</v>
      </c>
      <c r="L37" s="23"/>
      <c r="M37" s="31" t="s">
        <v>129</v>
      </c>
      <c r="N37" s="2">
        <v>187</v>
      </c>
      <c r="O37" s="23">
        <f t="shared" si="7"/>
        <v>7196.6033712108183</v>
      </c>
      <c r="P37" s="23"/>
      <c r="Q37" s="23"/>
      <c r="R37" s="2"/>
      <c r="S37" s="2"/>
      <c r="T37" s="2"/>
      <c r="U37" s="2"/>
      <c r="V37" s="2"/>
    </row>
    <row r="38" spans="1:22" x14ac:dyDescent="0.3">
      <c r="A38" s="19" t="s">
        <v>130</v>
      </c>
      <c r="B38" s="2">
        <v>91</v>
      </c>
      <c r="C38" s="23">
        <f t="shared" si="1"/>
        <v>3502.0904105892218</v>
      </c>
      <c r="D38" s="23"/>
      <c r="E38" s="20" t="s">
        <v>130</v>
      </c>
      <c r="F38" s="2">
        <v>91</v>
      </c>
      <c r="G38" s="23">
        <f t="shared" si="3"/>
        <v>3502.0904105892218</v>
      </c>
      <c r="H38" s="23"/>
      <c r="I38" s="21" t="s">
        <v>130</v>
      </c>
      <c r="J38" s="2">
        <v>91</v>
      </c>
      <c r="K38" s="23">
        <f t="shared" si="5"/>
        <v>3502.0904105892218</v>
      </c>
      <c r="L38" s="23"/>
      <c r="M38" s="22" t="s">
        <v>130</v>
      </c>
      <c r="N38" s="2">
        <v>91</v>
      </c>
      <c r="O38" s="23">
        <f t="shared" si="7"/>
        <v>3502.0904105892218</v>
      </c>
      <c r="P38" s="23"/>
      <c r="Q38" s="23"/>
      <c r="R38" s="2"/>
      <c r="S38" s="2"/>
      <c r="T38" s="2"/>
      <c r="U38" s="2"/>
      <c r="V38" s="2"/>
    </row>
    <row r="39" spans="1:22" x14ac:dyDescent="0.3">
      <c r="A39" s="28" t="s">
        <v>131</v>
      </c>
      <c r="B39" s="2">
        <v>91</v>
      </c>
      <c r="C39" s="23">
        <f t="shared" si="1"/>
        <v>3502.0904105892218</v>
      </c>
      <c r="D39" s="23"/>
      <c r="E39" s="29" t="s">
        <v>131</v>
      </c>
      <c r="F39" s="2">
        <v>91</v>
      </c>
      <c r="G39" s="23">
        <f t="shared" si="3"/>
        <v>3502.0904105892218</v>
      </c>
      <c r="H39" s="23"/>
      <c r="I39" s="30" t="s">
        <v>131</v>
      </c>
      <c r="J39" s="2">
        <v>91</v>
      </c>
      <c r="K39" s="23">
        <f t="shared" si="5"/>
        <v>3502.0904105892218</v>
      </c>
      <c r="L39" s="23"/>
      <c r="M39" s="31" t="s">
        <v>131</v>
      </c>
      <c r="N39" s="2">
        <v>91</v>
      </c>
      <c r="O39" s="23">
        <f t="shared" si="7"/>
        <v>3502.0904105892218</v>
      </c>
      <c r="P39" s="23"/>
      <c r="Q39" s="23"/>
      <c r="R39" s="2"/>
      <c r="S39" s="2"/>
      <c r="T39" s="2"/>
      <c r="U39" s="2"/>
      <c r="V39" s="2"/>
    </row>
    <row r="40" spans="1:22" x14ac:dyDescent="0.3">
      <c r="A40" s="19" t="s">
        <v>132</v>
      </c>
      <c r="B40" s="2">
        <v>91</v>
      </c>
      <c r="C40" s="23">
        <f t="shared" si="1"/>
        <v>3502.0904105892218</v>
      </c>
      <c r="D40" s="23"/>
      <c r="E40" s="20" t="s">
        <v>132</v>
      </c>
      <c r="F40" s="2">
        <v>91</v>
      </c>
      <c r="G40" s="23">
        <f t="shared" si="3"/>
        <v>3502.0904105892218</v>
      </c>
      <c r="H40" s="23"/>
      <c r="I40" s="21" t="s">
        <v>132</v>
      </c>
      <c r="J40" s="2">
        <v>91</v>
      </c>
      <c r="K40" s="23">
        <f t="shared" si="5"/>
        <v>3502.0904105892218</v>
      </c>
      <c r="L40" s="23"/>
      <c r="M40" s="22" t="s">
        <v>132</v>
      </c>
      <c r="N40" s="2">
        <v>91</v>
      </c>
      <c r="O40" s="23">
        <f t="shared" si="7"/>
        <v>3502.0904105892218</v>
      </c>
      <c r="P40" s="23"/>
      <c r="Q40" s="23"/>
      <c r="R40" s="2"/>
      <c r="S40" s="2"/>
      <c r="T40" s="2"/>
      <c r="U40" s="2"/>
      <c r="V40" s="2"/>
    </row>
    <row r="41" spans="1:22" x14ac:dyDescent="0.3">
      <c r="A41" s="28" t="s">
        <v>133</v>
      </c>
      <c r="B41" s="2">
        <v>109</v>
      </c>
      <c r="C41" s="23">
        <f t="shared" si="1"/>
        <v>4194.8115907057709</v>
      </c>
      <c r="D41" s="23"/>
      <c r="E41" s="29" t="s">
        <v>133</v>
      </c>
      <c r="F41" s="2">
        <v>109</v>
      </c>
      <c r="G41" s="23">
        <f t="shared" si="3"/>
        <v>4194.8115907057709</v>
      </c>
      <c r="H41" s="23"/>
      <c r="I41" s="30" t="s">
        <v>133</v>
      </c>
      <c r="J41" s="2">
        <v>109</v>
      </c>
      <c r="K41" s="23">
        <f t="shared" si="5"/>
        <v>4194.8115907057709</v>
      </c>
      <c r="L41" s="23"/>
      <c r="M41" s="31" t="s">
        <v>133</v>
      </c>
      <c r="N41" s="2">
        <v>109</v>
      </c>
      <c r="O41" s="23">
        <f t="shared" si="7"/>
        <v>4194.8115907057709</v>
      </c>
      <c r="P41" s="23"/>
      <c r="Q41" s="23"/>
      <c r="R41" s="2"/>
      <c r="S41" s="2"/>
      <c r="T41" s="2"/>
      <c r="U41" s="2"/>
      <c r="V41" s="2"/>
    </row>
    <row r="42" spans="1:22" x14ac:dyDescent="0.3">
      <c r="A42" s="19" t="s">
        <v>134</v>
      </c>
      <c r="B42" s="2">
        <v>109</v>
      </c>
      <c r="C42" s="23">
        <f t="shared" si="1"/>
        <v>4194.8115907057709</v>
      </c>
      <c r="D42" s="23"/>
      <c r="E42" s="20" t="s">
        <v>134</v>
      </c>
      <c r="F42" s="2">
        <v>109</v>
      </c>
      <c r="G42" s="23">
        <f t="shared" si="3"/>
        <v>4194.8115907057709</v>
      </c>
      <c r="H42" s="23"/>
      <c r="I42" s="21" t="s">
        <v>134</v>
      </c>
      <c r="J42" s="2">
        <v>109</v>
      </c>
      <c r="K42" s="23">
        <f t="shared" si="5"/>
        <v>4194.8115907057709</v>
      </c>
      <c r="L42" s="23"/>
      <c r="M42" s="22" t="s">
        <v>134</v>
      </c>
      <c r="N42" s="2">
        <v>109</v>
      </c>
      <c r="O42" s="23">
        <f t="shared" si="7"/>
        <v>4194.8115907057709</v>
      </c>
      <c r="P42" s="23"/>
      <c r="Q42" s="23"/>
      <c r="R42" s="2"/>
      <c r="S42" s="2"/>
      <c r="T42" s="2"/>
      <c r="U42" s="2"/>
      <c r="V42" s="2"/>
    </row>
    <row r="43" spans="1:22" x14ac:dyDescent="0.3">
      <c r="A43" s="28" t="s">
        <v>135</v>
      </c>
      <c r="B43" s="2">
        <v>109</v>
      </c>
      <c r="C43" s="23">
        <f t="shared" si="1"/>
        <v>4194.8115907057709</v>
      </c>
      <c r="D43" s="23"/>
      <c r="E43" s="29" t="s">
        <v>135</v>
      </c>
      <c r="F43" s="2">
        <v>109</v>
      </c>
      <c r="G43" s="23">
        <f t="shared" si="3"/>
        <v>4194.8115907057709</v>
      </c>
      <c r="H43" s="23"/>
      <c r="I43" s="30" t="s">
        <v>135</v>
      </c>
      <c r="J43" s="2">
        <v>121</v>
      </c>
      <c r="K43" s="23">
        <f t="shared" si="5"/>
        <v>4656.6257107834708</v>
      </c>
      <c r="L43" s="23"/>
      <c r="M43" s="31" t="s">
        <v>135</v>
      </c>
      <c r="N43" s="2">
        <v>121</v>
      </c>
      <c r="O43" s="23">
        <f t="shared" si="7"/>
        <v>4656.6257107834708</v>
      </c>
      <c r="P43" s="23"/>
      <c r="Q43" s="23"/>
      <c r="R43" s="2"/>
      <c r="S43" s="2"/>
      <c r="T43" s="2"/>
      <c r="U43" s="2"/>
      <c r="V43" s="2"/>
    </row>
    <row r="44" spans="1:22" x14ac:dyDescent="0.3">
      <c r="A44" s="19" t="s">
        <v>136</v>
      </c>
      <c r="B44" s="2">
        <v>121</v>
      </c>
      <c r="C44" s="23">
        <f t="shared" si="1"/>
        <v>4656.6257107834708</v>
      </c>
      <c r="D44" s="23"/>
      <c r="E44" s="20" t="s">
        <v>136</v>
      </c>
      <c r="F44" s="2">
        <v>121</v>
      </c>
      <c r="G44" s="23">
        <f t="shared" si="3"/>
        <v>4656.6257107834708</v>
      </c>
      <c r="H44" s="23"/>
      <c r="I44" s="21" t="s">
        <v>136</v>
      </c>
      <c r="J44" s="2">
        <v>127</v>
      </c>
      <c r="K44" s="23">
        <f t="shared" si="5"/>
        <v>4887.5327708223203</v>
      </c>
      <c r="L44" s="23"/>
      <c r="M44" s="22" t="s">
        <v>136</v>
      </c>
      <c r="N44" s="2">
        <v>127</v>
      </c>
      <c r="O44" s="23">
        <f t="shared" si="7"/>
        <v>4887.5327708223203</v>
      </c>
      <c r="P44" s="23"/>
      <c r="Q44" s="23"/>
      <c r="R44" s="2"/>
      <c r="S44" s="2"/>
      <c r="T44" s="2"/>
      <c r="U44" s="2"/>
      <c r="V44" s="2"/>
    </row>
    <row r="45" spans="1:22" x14ac:dyDescent="0.3">
      <c r="A45" s="28" t="s">
        <v>137</v>
      </c>
      <c r="B45" s="2">
        <v>127</v>
      </c>
      <c r="C45" s="23">
        <f t="shared" si="1"/>
        <v>4887.5327708223203</v>
      </c>
      <c r="D45" s="23"/>
      <c r="E45" s="29" t="s">
        <v>137</v>
      </c>
      <c r="F45" s="2">
        <v>127</v>
      </c>
      <c r="G45" s="23">
        <f t="shared" si="3"/>
        <v>4887.5327708223203</v>
      </c>
      <c r="H45" s="23"/>
      <c r="I45" s="30" t="s">
        <v>137</v>
      </c>
      <c r="J45" s="2">
        <v>139</v>
      </c>
      <c r="K45" s="23">
        <f t="shared" si="5"/>
        <v>5349.3468909000203</v>
      </c>
      <c r="L45" s="23"/>
      <c r="M45" s="31" t="s">
        <v>137</v>
      </c>
      <c r="N45" s="2">
        <v>139</v>
      </c>
      <c r="O45" s="23">
        <f t="shared" si="7"/>
        <v>5349.3468909000203</v>
      </c>
      <c r="P45" s="23"/>
      <c r="Q45" s="23"/>
      <c r="R45" s="2"/>
      <c r="S45" s="2"/>
      <c r="T45" s="2"/>
      <c r="U45" s="2"/>
      <c r="V45" s="2"/>
    </row>
    <row r="46" spans="1:22" x14ac:dyDescent="0.3">
      <c r="A46" s="19" t="s">
        <v>138</v>
      </c>
      <c r="B46" s="2">
        <v>139</v>
      </c>
      <c r="C46" s="23">
        <f t="shared" si="1"/>
        <v>5349.3468909000203</v>
      </c>
      <c r="D46" s="23"/>
      <c r="E46" s="20" t="s">
        <v>138</v>
      </c>
      <c r="F46" s="2">
        <v>139</v>
      </c>
      <c r="G46" s="23">
        <f t="shared" si="3"/>
        <v>5349.3468909000203</v>
      </c>
      <c r="H46" s="23"/>
      <c r="I46" s="21" t="s">
        <v>138</v>
      </c>
      <c r="J46" s="2">
        <v>151</v>
      </c>
      <c r="K46" s="23">
        <f t="shared" si="5"/>
        <v>5811.1610109777193</v>
      </c>
      <c r="L46" s="23"/>
      <c r="M46" s="22" t="s">
        <v>138</v>
      </c>
      <c r="N46" s="2">
        <v>151</v>
      </c>
      <c r="O46" s="23">
        <f t="shared" si="7"/>
        <v>5811.1610109777193</v>
      </c>
      <c r="P46" s="23"/>
      <c r="Q46" s="23"/>
      <c r="R46" s="2"/>
      <c r="S46" s="2"/>
      <c r="T46" s="2"/>
      <c r="U46" s="2"/>
      <c r="V46" s="2"/>
    </row>
    <row r="47" spans="1:22" x14ac:dyDescent="0.3">
      <c r="A47" s="28" t="s">
        <v>139</v>
      </c>
      <c r="B47" s="2">
        <v>139</v>
      </c>
      <c r="C47" s="23">
        <f t="shared" si="1"/>
        <v>5349.3468909000203</v>
      </c>
      <c r="D47" s="23"/>
      <c r="E47" s="29" t="s">
        <v>139</v>
      </c>
      <c r="F47" s="2">
        <v>139</v>
      </c>
      <c r="G47" s="23">
        <f t="shared" si="3"/>
        <v>5349.3468909000203</v>
      </c>
      <c r="H47" s="23"/>
      <c r="I47" s="30" t="s">
        <v>139</v>
      </c>
      <c r="J47" s="2">
        <v>163</v>
      </c>
      <c r="K47" s="23">
        <f t="shared" si="5"/>
        <v>6272.9751310554193</v>
      </c>
      <c r="L47" s="23"/>
      <c r="M47" s="31" t="s">
        <v>139</v>
      </c>
      <c r="N47" s="2">
        <v>163</v>
      </c>
      <c r="O47" s="23">
        <f t="shared" si="7"/>
        <v>6272.9751310554193</v>
      </c>
      <c r="P47" s="23"/>
      <c r="Q47" s="23"/>
      <c r="R47" s="2"/>
      <c r="S47" s="2"/>
      <c r="T47" s="2"/>
      <c r="U47" s="2"/>
      <c r="V47" s="2"/>
    </row>
    <row r="48" spans="1:22" x14ac:dyDescent="0.3">
      <c r="A48" s="19" t="s">
        <v>140</v>
      </c>
      <c r="B48" s="2">
        <v>151</v>
      </c>
      <c r="C48" s="23">
        <f t="shared" si="1"/>
        <v>5811.1610109777193</v>
      </c>
      <c r="D48" s="23"/>
      <c r="E48" s="20" t="s">
        <v>140</v>
      </c>
      <c r="F48" s="2">
        <v>151</v>
      </c>
      <c r="G48" s="23">
        <f t="shared" si="3"/>
        <v>5811.1610109777193</v>
      </c>
      <c r="H48" s="23"/>
      <c r="I48" s="21" t="s">
        <v>140</v>
      </c>
      <c r="J48" s="2">
        <v>187</v>
      </c>
      <c r="K48" s="23">
        <f t="shared" si="5"/>
        <v>7196.6033712108183</v>
      </c>
      <c r="L48" s="23"/>
      <c r="M48" s="22" t="s">
        <v>140</v>
      </c>
      <c r="N48" s="2">
        <v>187</v>
      </c>
      <c r="O48" s="23">
        <f t="shared" si="7"/>
        <v>7196.6033712108183</v>
      </c>
      <c r="P48" s="23"/>
      <c r="Q48" s="23"/>
      <c r="R48" s="2"/>
      <c r="S48" s="2"/>
      <c r="T48" s="2"/>
      <c r="U48" s="2"/>
      <c r="V48" s="2"/>
    </row>
    <row r="49" spans="1:22" x14ac:dyDescent="0.3">
      <c r="A49" s="28" t="s">
        <v>141</v>
      </c>
      <c r="B49" s="2">
        <v>151</v>
      </c>
      <c r="C49" s="23">
        <f t="shared" si="1"/>
        <v>5811.1610109777193</v>
      </c>
      <c r="D49" s="23"/>
      <c r="E49" s="29" t="s">
        <v>141</v>
      </c>
      <c r="F49" s="2">
        <v>151</v>
      </c>
      <c r="G49" s="23">
        <f t="shared" si="3"/>
        <v>5811.1610109777193</v>
      </c>
      <c r="H49" s="23"/>
      <c r="I49" s="30" t="s">
        <v>141</v>
      </c>
      <c r="J49" s="2">
        <v>253</v>
      </c>
      <c r="K49" s="23">
        <f t="shared" si="5"/>
        <v>9736.5810316381649</v>
      </c>
      <c r="L49" s="23"/>
      <c r="M49" s="31" t="s">
        <v>141</v>
      </c>
      <c r="N49" s="2">
        <v>253</v>
      </c>
      <c r="O49" s="23">
        <f t="shared" si="7"/>
        <v>9736.5810316381649</v>
      </c>
      <c r="P49" s="23"/>
      <c r="Q49" s="23"/>
      <c r="R49" s="2"/>
      <c r="S49" s="2"/>
      <c r="T49" s="2"/>
      <c r="U49" s="2"/>
      <c r="V49" s="2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B2:S366"/>
  <sheetViews>
    <sheetView topLeftCell="A139" zoomScale="115" zoomScaleNormal="115" workbookViewId="0">
      <selection activeCell="J130" sqref="J130"/>
    </sheetView>
  </sheetViews>
  <sheetFormatPr defaultRowHeight="16.5" x14ac:dyDescent="0.3"/>
  <cols>
    <col min="1" max="1" width="9.140625" style="1"/>
    <col min="2" max="2" width="17.42578125" style="1" customWidth="1"/>
    <col min="3" max="3" width="11.28515625" style="1" customWidth="1"/>
    <col min="4" max="5" width="9.140625" style="1"/>
    <col min="6" max="6" width="12.42578125" style="1" customWidth="1"/>
    <col min="7" max="7" width="9.140625" style="1"/>
    <col min="8" max="8" width="0" style="1" hidden="1" customWidth="1"/>
    <col min="9" max="9" width="13.5703125" style="1" customWidth="1"/>
    <col min="10" max="10" width="14.28515625" style="1" customWidth="1"/>
    <col min="11" max="16" width="9.140625" style="1"/>
    <col min="17" max="17" width="0" style="1" hidden="1" customWidth="1"/>
    <col min="18" max="18" width="13.5703125" style="1" customWidth="1"/>
    <col min="19" max="19" width="14.7109375" style="1" customWidth="1"/>
    <col min="20" max="16384" width="9.140625" style="1"/>
  </cols>
  <sheetData>
    <row r="2" spans="2:19" ht="33.75" x14ac:dyDescent="0.3">
      <c r="D2" s="44" t="s">
        <v>59</v>
      </c>
      <c r="E2" s="45"/>
      <c r="F2" s="45"/>
      <c r="G2" s="45"/>
      <c r="H2" s="45"/>
      <c r="I2" s="45"/>
      <c r="J2" s="45"/>
      <c r="M2" s="44" t="s">
        <v>61</v>
      </c>
      <c r="N2" s="45"/>
      <c r="O2" s="45"/>
      <c r="P2" s="45"/>
      <c r="Q2" s="45"/>
      <c r="R2" s="45"/>
      <c r="S2" s="45"/>
    </row>
    <row r="3" spans="2:19" x14ac:dyDescent="0.3">
      <c r="D3" s="2" t="s">
        <v>53</v>
      </c>
      <c r="E3" s="2" t="s">
        <v>50</v>
      </c>
      <c r="F3" s="2" t="s">
        <v>51</v>
      </c>
      <c r="G3" s="2" t="s">
        <v>52</v>
      </c>
      <c r="H3" s="2" t="s">
        <v>48</v>
      </c>
      <c r="I3" s="2" t="s">
        <v>49</v>
      </c>
      <c r="J3" s="2" t="s">
        <v>60</v>
      </c>
      <c r="M3" s="2" t="s">
        <v>53</v>
      </c>
      <c r="N3" s="2" t="s">
        <v>50</v>
      </c>
      <c r="O3" s="2" t="s">
        <v>51</v>
      </c>
      <c r="P3" s="2" t="s">
        <v>52</v>
      </c>
      <c r="Q3" s="2" t="s">
        <v>48</v>
      </c>
      <c r="R3" s="2" t="s">
        <v>49</v>
      </c>
      <c r="S3" s="2" t="s">
        <v>60</v>
      </c>
    </row>
    <row r="4" spans="2:19" x14ac:dyDescent="0.3">
      <c r="D4" s="2">
        <v>1</v>
      </c>
      <c r="E4" s="2">
        <v>0</v>
      </c>
      <c r="F4" s="2">
        <v>0</v>
      </c>
      <c r="G4" s="2">
        <v>-15</v>
      </c>
      <c r="H4" s="2">
        <f>SQRT((E5-E4)^2+(F5-F4)^2+(G5-G4)^2)</f>
        <v>8</v>
      </c>
      <c r="I4" s="2">
        <v>1</v>
      </c>
      <c r="J4" s="2">
        <v>5</v>
      </c>
      <c r="M4" s="2">
        <v>1</v>
      </c>
      <c r="N4" s="2">
        <v>0</v>
      </c>
      <c r="O4" s="2">
        <v>0</v>
      </c>
      <c r="P4" s="2">
        <v>15</v>
      </c>
      <c r="Q4" s="2">
        <f>SQRT((N5-N4)^2+(O5-O4)^2+(P5-P4)^2)</f>
        <v>8</v>
      </c>
      <c r="R4" s="2">
        <v>1</v>
      </c>
      <c r="S4" s="2"/>
    </row>
    <row r="5" spans="2:19" x14ac:dyDescent="0.3">
      <c r="D5" s="2">
        <v>2</v>
      </c>
      <c r="E5" s="2">
        <f>E4+8</f>
        <v>8</v>
      </c>
      <c r="F5" s="2">
        <v>0</v>
      </c>
      <c r="G5" s="2">
        <v>-15</v>
      </c>
      <c r="H5" s="2">
        <f t="shared" ref="H5:H68" si="0">SQRT((E6-E5)^2+(F6-F5)^2+(G6-G5)^2)</f>
        <v>8</v>
      </c>
      <c r="I5" s="2">
        <v>3</v>
      </c>
      <c r="J5" s="2"/>
      <c r="M5" s="2">
        <v>2</v>
      </c>
      <c r="N5" s="2">
        <f>N4+8</f>
        <v>8</v>
      </c>
      <c r="O5" s="2">
        <v>0</v>
      </c>
      <c r="P5" s="2">
        <v>15</v>
      </c>
      <c r="Q5" s="2">
        <f t="shared" ref="Q5:Q68" si="1">SQRT((N6-N5)^2+(O6-O5)^2+(P6-P5)^2)</f>
        <v>8</v>
      </c>
      <c r="R5" s="2">
        <v>3</v>
      </c>
      <c r="S5" s="2"/>
    </row>
    <row r="6" spans="2:19" x14ac:dyDescent="0.3">
      <c r="B6" s="42" t="s">
        <v>54</v>
      </c>
      <c r="C6" s="43"/>
      <c r="D6" s="2">
        <v>3</v>
      </c>
      <c r="E6" s="2">
        <f t="shared" ref="E6:E12" si="2">E5+8</f>
        <v>16</v>
      </c>
      <c r="F6" s="2">
        <v>0</v>
      </c>
      <c r="G6" s="2">
        <v>-15</v>
      </c>
      <c r="H6" s="2">
        <f t="shared" si="0"/>
        <v>8</v>
      </c>
      <c r="I6" s="2">
        <v>3</v>
      </c>
      <c r="J6" s="2"/>
      <c r="M6" s="2">
        <v>3</v>
      </c>
      <c r="N6" s="2">
        <f t="shared" ref="N6:N12" si="3">N5+8</f>
        <v>16</v>
      </c>
      <c r="O6" s="2">
        <v>0</v>
      </c>
      <c r="P6" s="2">
        <v>15</v>
      </c>
      <c r="Q6" s="2">
        <f t="shared" si="1"/>
        <v>8</v>
      </c>
      <c r="R6" s="2">
        <v>3</v>
      </c>
      <c r="S6" s="2"/>
    </row>
    <row r="7" spans="2:19" x14ac:dyDescent="0.3">
      <c r="B7" s="2" t="s">
        <v>55</v>
      </c>
      <c r="C7" s="5">
        <v>1</v>
      </c>
      <c r="D7" s="2">
        <v>4</v>
      </c>
      <c r="E7" s="2">
        <f t="shared" si="2"/>
        <v>24</v>
      </c>
      <c r="F7" s="2">
        <v>0</v>
      </c>
      <c r="G7" s="2">
        <v>-15</v>
      </c>
      <c r="H7" s="2">
        <f t="shared" si="0"/>
        <v>8</v>
      </c>
      <c r="I7" s="2">
        <v>3</v>
      </c>
      <c r="J7" s="2"/>
      <c r="M7" s="2">
        <v>4</v>
      </c>
      <c r="N7" s="2">
        <f t="shared" si="3"/>
        <v>24</v>
      </c>
      <c r="O7" s="2">
        <v>0</v>
      </c>
      <c r="P7" s="2">
        <v>15</v>
      </c>
      <c r="Q7" s="2">
        <f t="shared" si="1"/>
        <v>8</v>
      </c>
      <c r="R7" s="2">
        <v>3</v>
      </c>
      <c r="S7" s="2"/>
    </row>
    <row r="8" spans="2:19" x14ac:dyDescent="0.3">
      <c r="B8" s="2" t="s">
        <v>56</v>
      </c>
      <c r="C8" s="5">
        <v>2</v>
      </c>
      <c r="D8" s="2">
        <v>5</v>
      </c>
      <c r="E8" s="2">
        <f t="shared" si="2"/>
        <v>32</v>
      </c>
      <c r="F8" s="2">
        <v>0</v>
      </c>
      <c r="G8" s="2">
        <v>-15</v>
      </c>
      <c r="H8" s="2">
        <f t="shared" si="0"/>
        <v>8</v>
      </c>
      <c r="I8" s="2">
        <v>5</v>
      </c>
      <c r="J8" s="2">
        <v>5</v>
      </c>
      <c r="M8" s="2">
        <v>5</v>
      </c>
      <c r="N8" s="2">
        <f t="shared" si="3"/>
        <v>32</v>
      </c>
      <c r="O8" s="2">
        <v>0</v>
      </c>
      <c r="P8" s="2">
        <v>15</v>
      </c>
      <c r="Q8" s="2">
        <f t="shared" si="1"/>
        <v>8</v>
      </c>
      <c r="R8" s="2">
        <v>5</v>
      </c>
      <c r="S8" s="2"/>
    </row>
    <row r="9" spans="2:19" x14ac:dyDescent="0.3">
      <c r="B9" s="2" t="s">
        <v>57</v>
      </c>
      <c r="C9" s="5">
        <v>3</v>
      </c>
      <c r="D9" s="2">
        <v>6</v>
      </c>
      <c r="E9" s="2">
        <f t="shared" si="2"/>
        <v>40</v>
      </c>
      <c r="F9" s="2">
        <v>0</v>
      </c>
      <c r="G9" s="2">
        <v>-15</v>
      </c>
      <c r="H9" s="2">
        <f t="shared" si="0"/>
        <v>8</v>
      </c>
      <c r="I9" s="2">
        <v>3</v>
      </c>
      <c r="J9" s="2"/>
      <c r="M9" s="2">
        <v>6</v>
      </c>
      <c r="N9" s="2">
        <f t="shared" si="3"/>
        <v>40</v>
      </c>
      <c r="O9" s="2">
        <v>0</v>
      </c>
      <c r="P9" s="2">
        <v>15</v>
      </c>
      <c r="Q9" s="2">
        <f t="shared" si="1"/>
        <v>8</v>
      </c>
      <c r="R9" s="2">
        <v>3</v>
      </c>
      <c r="S9" s="2"/>
    </row>
    <row r="10" spans="2:19" x14ac:dyDescent="0.3">
      <c r="B10" s="2" t="s">
        <v>142</v>
      </c>
      <c r="C10" s="5">
        <v>4</v>
      </c>
      <c r="D10" s="2">
        <v>7</v>
      </c>
      <c r="E10" s="2">
        <f t="shared" si="2"/>
        <v>48</v>
      </c>
      <c r="F10" s="2">
        <v>0</v>
      </c>
      <c r="G10" s="2">
        <v>-15</v>
      </c>
      <c r="H10" s="2">
        <f t="shared" si="0"/>
        <v>8</v>
      </c>
      <c r="I10" s="2">
        <v>3</v>
      </c>
      <c r="J10" s="2"/>
      <c r="M10" s="2">
        <v>7</v>
      </c>
      <c r="N10" s="2">
        <f t="shared" si="3"/>
        <v>48</v>
      </c>
      <c r="O10" s="2">
        <v>0</v>
      </c>
      <c r="P10" s="2">
        <v>15</v>
      </c>
      <c r="Q10" s="2">
        <f t="shared" si="1"/>
        <v>8</v>
      </c>
      <c r="R10" s="2">
        <v>3</v>
      </c>
      <c r="S10" s="2"/>
    </row>
    <row r="11" spans="2:19" x14ac:dyDescent="0.3">
      <c r="B11" s="1" t="s">
        <v>143</v>
      </c>
      <c r="C11" s="1">
        <v>5</v>
      </c>
      <c r="D11" s="2">
        <v>8</v>
      </c>
      <c r="E11" s="2">
        <f t="shared" si="2"/>
        <v>56</v>
      </c>
      <c r="F11" s="2">
        <v>0</v>
      </c>
      <c r="G11" s="2">
        <v>-15</v>
      </c>
      <c r="H11" s="2">
        <f t="shared" si="0"/>
        <v>8</v>
      </c>
      <c r="I11" s="2">
        <v>5</v>
      </c>
      <c r="J11" s="2">
        <v>5</v>
      </c>
      <c r="M11" s="2">
        <v>8</v>
      </c>
      <c r="N11" s="2">
        <f t="shared" si="3"/>
        <v>56</v>
      </c>
      <c r="O11" s="2">
        <v>0</v>
      </c>
      <c r="P11" s="2">
        <v>15</v>
      </c>
      <c r="Q11" s="2">
        <f t="shared" si="1"/>
        <v>8</v>
      </c>
      <c r="R11" s="2">
        <v>5</v>
      </c>
      <c r="S11" s="2"/>
    </row>
    <row r="12" spans="2:19" x14ac:dyDescent="0.3">
      <c r="D12" s="2">
        <v>9</v>
      </c>
      <c r="E12" s="2">
        <f t="shared" si="2"/>
        <v>64</v>
      </c>
      <c r="F12" s="2">
        <v>0</v>
      </c>
      <c r="G12" s="2">
        <v>-15</v>
      </c>
      <c r="H12" s="2">
        <f t="shared" si="0"/>
        <v>6</v>
      </c>
      <c r="I12" s="2">
        <v>2</v>
      </c>
      <c r="J12" s="2"/>
      <c r="M12" s="2">
        <v>9</v>
      </c>
      <c r="N12" s="2">
        <f t="shared" si="3"/>
        <v>64</v>
      </c>
      <c r="O12" s="2">
        <v>0</v>
      </c>
      <c r="P12" s="2">
        <v>15</v>
      </c>
      <c r="Q12" s="2">
        <f t="shared" si="1"/>
        <v>6</v>
      </c>
      <c r="R12" s="2">
        <v>2</v>
      </c>
      <c r="S12" s="2"/>
    </row>
    <row r="13" spans="2:19" x14ac:dyDescent="0.3">
      <c r="D13" s="2">
        <v>10</v>
      </c>
      <c r="E13" s="2">
        <f>E12+6</f>
        <v>70</v>
      </c>
      <c r="F13" s="2">
        <v>0</v>
      </c>
      <c r="G13" s="2">
        <v>-15</v>
      </c>
      <c r="H13" s="2">
        <f t="shared" si="0"/>
        <v>9</v>
      </c>
      <c r="I13" s="2">
        <v>1</v>
      </c>
      <c r="J13" s="2"/>
      <c r="M13" s="2">
        <v>10</v>
      </c>
      <c r="N13" s="2">
        <f>N12+6</f>
        <v>70</v>
      </c>
      <c r="O13" s="2">
        <v>0</v>
      </c>
      <c r="P13" s="2">
        <v>15</v>
      </c>
      <c r="Q13" s="2">
        <f t="shared" si="1"/>
        <v>9</v>
      </c>
      <c r="R13" s="2">
        <v>1</v>
      </c>
      <c r="S13" s="2"/>
    </row>
    <row r="14" spans="2:19" x14ac:dyDescent="0.3">
      <c r="D14" s="2">
        <v>11</v>
      </c>
      <c r="E14" s="2">
        <f>E12+15</f>
        <v>79</v>
      </c>
      <c r="F14" s="2">
        <v>0</v>
      </c>
      <c r="G14" s="2">
        <v>-15</v>
      </c>
      <c r="H14" s="2">
        <f t="shared" si="0"/>
        <v>7.5</v>
      </c>
      <c r="I14" s="2">
        <v>2</v>
      </c>
      <c r="J14" s="2"/>
      <c r="M14" s="2">
        <v>11</v>
      </c>
      <c r="N14" s="2">
        <f>N12+15</f>
        <v>79</v>
      </c>
      <c r="O14" s="2">
        <v>0</v>
      </c>
      <c r="P14" s="2">
        <v>15</v>
      </c>
      <c r="Q14" s="2">
        <f t="shared" si="1"/>
        <v>7.5</v>
      </c>
      <c r="R14" s="2">
        <v>2</v>
      </c>
      <c r="S14" s="2"/>
    </row>
    <row r="15" spans="2:19" x14ac:dyDescent="0.3">
      <c r="D15" s="2">
        <v>12</v>
      </c>
      <c r="E15" s="2">
        <f>E14+7.5</f>
        <v>86.5</v>
      </c>
      <c r="F15" s="2">
        <v>0</v>
      </c>
      <c r="G15" s="2">
        <v>-15</v>
      </c>
      <c r="H15" s="2">
        <f t="shared" si="0"/>
        <v>7.5</v>
      </c>
      <c r="I15" s="2">
        <v>5</v>
      </c>
      <c r="J15" s="2">
        <v>5</v>
      </c>
      <c r="M15" s="2">
        <v>12</v>
      </c>
      <c r="N15" s="2">
        <f>N14+7.5</f>
        <v>86.5</v>
      </c>
      <c r="O15" s="2">
        <v>0</v>
      </c>
      <c r="P15" s="2">
        <v>15</v>
      </c>
      <c r="Q15" s="2">
        <f t="shared" si="1"/>
        <v>7.5</v>
      </c>
      <c r="R15" s="2">
        <v>5</v>
      </c>
      <c r="S15" s="2"/>
    </row>
    <row r="16" spans="2:19" x14ac:dyDescent="0.3">
      <c r="D16" s="2">
        <v>13</v>
      </c>
      <c r="E16" s="2">
        <f t="shared" ref="E16:E34" si="4">E15+7.5</f>
        <v>94</v>
      </c>
      <c r="F16" s="2">
        <v>0</v>
      </c>
      <c r="G16" s="2">
        <v>-15</v>
      </c>
      <c r="H16" s="2">
        <f t="shared" si="0"/>
        <v>7.5</v>
      </c>
      <c r="I16" s="2">
        <v>2</v>
      </c>
      <c r="J16" s="2"/>
      <c r="M16" s="2">
        <v>13</v>
      </c>
      <c r="N16" s="2">
        <f t="shared" ref="N16:N34" si="5">N15+7.5</f>
        <v>94</v>
      </c>
      <c r="O16" s="2">
        <v>0</v>
      </c>
      <c r="P16" s="2">
        <v>15</v>
      </c>
      <c r="Q16" s="2">
        <f t="shared" si="1"/>
        <v>7.5</v>
      </c>
      <c r="R16" s="2">
        <v>2</v>
      </c>
      <c r="S16" s="2"/>
    </row>
    <row r="17" spans="4:19" x14ac:dyDescent="0.3">
      <c r="D17" s="2">
        <v>14</v>
      </c>
      <c r="E17" s="2">
        <f t="shared" si="4"/>
        <v>101.5</v>
      </c>
      <c r="F17" s="2">
        <v>0</v>
      </c>
      <c r="G17" s="2">
        <v>-15</v>
      </c>
      <c r="H17" s="2">
        <f t="shared" si="0"/>
        <v>7.5</v>
      </c>
      <c r="I17" s="2">
        <v>3</v>
      </c>
      <c r="J17" s="2"/>
      <c r="M17" s="2">
        <v>14</v>
      </c>
      <c r="N17" s="2">
        <f t="shared" si="5"/>
        <v>101.5</v>
      </c>
      <c r="O17" s="2">
        <v>0</v>
      </c>
      <c r="P17" s="2">
        <v>15</v>
      </c>
      <c r="Q17" s="2">
        <f t="shared" si="1"/>
        <v>7.5</v>
      </c>
      <c r="R17" s="2">
        <v>3</v>
      </c>
      <c r="S17" s="2"/>
    </row>
    <row r="18" spans="4:19" x14ac:dyDescent="0.3">
      <c r="D18" s="2">
        <v>15</v>
      </c>
      <c r="E18" s="2">
        <f t="shared" si="4"/>
        <v>109</v>
      </c>
      <c r="F18" s="2">
        <v>0</v>
      </c>
      <c r="G18" s="2">
        <v>-15</v>
      </c>
      <c r="H18" s="2">
        <f t="shared" si="0"/>
        <v>7.5</v>
      </c>
      <c r="I18" s="2">
        <v>2</v>
      </c>
      <c r="J18" s="2"/>
      <c r="M18" s="2">
        <v>15</v>
      </c>
      <c r="N18" s="2">
        <f t="shared" si="5"/>
        <v>109</v>
      </c>
      <c r="O18" s="2">
        <v>0</v>
      </c>
      <c r="P18" s="2">
        <v>15</v>
      </c>
      <c r="Q18" s="2">
        <f t="shared" si="1"/>
        <v>7.5</v>
      </c>
      <c r="R18" s="2">
        <v>2</v>
      </c>
      <c r="S18" s="2"/>
    </row>
    <row r="19" spans="4:19" x14ac:dyDescent="0.3">
      <c r="D19" s="2">
        <v>16</v>
      </c>
      <c r="E19" s="2">
        <f t="shared" si="4"/>
        <v>116.5</v>
      </c>
      <c r="F19" s="2">
        <v>0</v>
      </c>
      <c r="G19" s="2">
        <v>-15</v>
      </c>
      <c r="H19" s="2">
        <f t="shared" si="0"/>
        <v>7.5</v>
      </c>
      <c r="I19" s="2">
        <v>5</v>
      </c>
      <c r="J19" s="2">
        <v>5</v>
      </c>
      <c r="M19" s="2">
        <v>16</v>
      </c>
      <c r="N19" s="2">
        <f t="shared" si="5"/>
        <v>116.5</v>
      </c>
      <c r="O19" s="2">
        <v>0</v>
      </c>
      <c r="P19" s="2">
        <v>15</v>
      </c>
      <c r="Q19" s="2">
        <f t="shared" si="1"/>
        <v>7.5</v>
      </c>
      <c r="R19" s="2">
        <v>5</v>
      </c>
      <c r="S19" s="2"/>
    </row>
    <row r="20" spans="4:19" x14ac:dyDescent="0.3">
      <c r="D20" s="2">
        <v>17</v>
      </c>
      <c r="E20" s="2">
        <f t="shared" si="4"/>
        <v>124</v>
      </c>
      <c r="F20" s="2">
        <v>0</v>
      </c>
      <c r="G20" s="2">
        <v>-15</v>
      </c>
      <c r="H20" s="2">
        <f t="shared" si="0"/>
        <v>7.5</v>
      </c>
      <c r="I20" s="2">
        <v>2</v>
      </c>
      <c r="J20" s="2"/>
      <c r="M20" s="2">
        <v>17</v>
      </c>
      <c r="N20" s="2">
        <f t="shared" si="5"/>
        <v>124</v>
      </c>
      <c r="O20" s="2">
        <v>0</v>
      </c>
      <c r="P20" s="2">
        <v>15</v>
      </c>
      <c r="Q20" s="2">
        <f t="shared" si="1"/>
        <v>7.5</v>
      </c>
      <c r="R20" s="2">
        <v>2</v>
      </c>
      <c r="S20" s="2"/>
    </row>
    <row r="21" spans="4:19" x14ac:dyDescent="0.3">
      <c r="D21" s="2">
        <v>18</v>
      </c>
      <c r="E21" s="2">
        <f t="shared" si="4"/>
        <v>131.5</v>
      </c>
      <c r="F21" s="2">
        <v>0</v>
      </c>
      <c r="G21" s="2">
        <v>-15</v>
      </c>
      <c r="H21" s="2">
        <f t="shared" si="0"/>
        <v>7.5</v>
      </c>
      <c r="I21" s="2">
        <v>3</v>
      </c>
      <c r="J21" s="2"/>
      <c r="M21" s="2">
        <v>18</v>
      </c>
      <c r="N21" s="2">
        <f t="shared" si="5"/>
        <v>131.5</v>
      </c>
      <c r="O21" s="2">
        <v>0</v>
      </c>
      <c r="P21" s="2">
        <v>15</v>
      </c>
      <c r="Q21" s="2">
        <f t="shared" si="1"/>
        <v>7.5</v>
      </c>
      <c r="R21" s="2">
        <v>3</v>
      </c>
      <c r="S21" s="2"/>
    </row>
    <row r="22" spans="4:19" x14ac:dyDescent="0.3">
      <c r="D22" s="2">
        <v>19</v>
      </c>
      <c r="E22" s="2">
        <f t="shared" si="4"/>
        <v>139</v>
      </c>
      <c r="F22" s="2">
        <v>0</v>
      </c>
      <c r="G22" s="2">
        <v>-15</v>
      </c>
      <c r="H22" s="2">
        <f t="shared" si="0"/>
        <v>7.5</v>
      </c>
      <c r="I22" s="2">
        <v>2</v>
      </c>
      <c r="J22" s="2"/>
      <c r="M22" s="2">
        <v>19</v>
      </c>
      <c r="N22" s="2">
        <f t="shared" si="5"/>
        <v>139</v>
      </c>
      <c r="O22" s="2">
        <v>0</v>
      </c>
      <c r="P22" s="2">
        <v>15</v>
      </c>
      <c r="Q22" s="2">
        <f t="shared" si="1"/>
        <v>7.5</v>
      </c>
      <c r="R22" s="2">
        <v>2</v>
      </c>
      <c r="S22" s="2"/>
    </row>
    <row r="23" spans="4:19" x14ac:dyDescent="0.3">
      <c r="D23" s="2">
        <v>20</v>
      </c>
      <c r="E23" s="2">
        <f t="shared" si="4"/>
        <v>146.5</v>
      </c>
      <c r="F23" s="2">
        <v>0</v>
      </c>
      <c r="G23" s="2">
        <v>-15</v>
      </c>
      <c r="H23" s="2">
        <f t="shared" si="0"/>
        <v>7.5</v>
      </c>
      <c r="I23" s="2">
        <v>5</v>
      </c>
      <c r="J23" s="2">
        <v>5</v>
      </c>
      <c r="M23" s="2">
        <v>20</v>
      </c>
      <c r="N23" s="2">
        <f t="shared" si="5"/>
        <v>146.5</v>
      </c>
      <c r="O23" s="2">
        <v>0</v>
      </c>
      <c r="P23" s="2">
        <v>15</v>
      </c>
      <c r="Q23" s="2">
        <f t="shared" si="1"/>
        <v>7.5</v>
      </c>
      <c r="R23" s="2">
        <v>5</v>
      </c>
      <c r="S23" s="2"/>
    </row>
    <row r="24" spans="4:19" x14ac:dyDescent="0.3">
      <c r="D24" s="2">
        <v>21</v>
      </c>
      <c r="E24" s="2">
        <f t="shared" si="4"/>
        <v>154</v>
      </c>
      <c r="F24" s="2">
        <v>0</v>
      </c>
      <c r="G24" s="2">
        <v>-15</v>
      </c>
      <c r="H24" s="2">
        <f t="shared" si="0"/>
        <v>7.5</v>
      </c>
      <c r="I24" s="2">
        <v>2</v>
      </c>
      <c r="J24" s="2"/>
      <c r="M24" s="2">
        <v>21</v>
      </c>
      <c r="N24" s="2">
        <f t="shared" si="5"/>
        <v>154</v>
      </c>
      <c r="O24" s="2">
        <v>0</v>
      </c>
      <c r="P24" s="2">
        <v>15</v>
      </c>
      <c r="Q24" s="2">
        <f t="shared" si="1"/>
        <v>7.5</v>
      </c>
      <c r="R24" s="2">
        <v>2</v>
      </c>
      <c r="S24" s="2"/>
    </row>
    <row r="25" spans="4:19" x14ac:dyDescent="0.3">
      <c r="D25" s="2">
        <v>22</v>
      </c>
      <c r="E25" s="2">
        <f t="shared" si="4"/>
        <v>161.5</v>
      </c>
      <c r="F25" s="2">
        <v>0</v>
      </c>
      <c r="G25" s="2">
        <v>-15</v>
      </c>
      <c r="H25" s="2">
        <f t="shared" si="0"/>
        <v>7.5</v>
      </c>
      <c r="I25" s="2">
        <v>3</v>
      </c>
      <c r="J25" s="2"/>
      <c r="M25" s="2">
        <v>22</v>
      </c>
      <c r="N25" s="2">
        <f t="shared" si="5"/>
        <v>161.5</v>
      </c>
      <c r="O25" s="2">
        <v>0</v>
      </c>
      <c r="P25" s="2">
        <v>15</v>
      </c>
      <c r="Q25" s="2">
        <f t="shared" si="1"/>
        <v>7.5</v>
      </c>
      <c r="R25" s="2">
        <v>3</v>
      </c>
      <c r="S25" s="2"/>
    </row>
    <row r="26" spans="4:19" x14ac:dyDescent="0.3">
      <c r="D26" s="2">
        <v>23</v>
      </c>
      <c r="E26" s="2">
        <f t="shared" si="4"/>
        <v>169</v>
      </c>
      <c r="F26" s="2">
        <v>0</v>
      </c>
      <c r="G26" s="2">
        <v>-15</v>
      </c>
      <c r="H26" s="2">
        <f t="shared" si="0"/>
        <v>7.5</v>
      </c>
      <c r="I26" s="2">
        <v>2</v>
      </c>
      <c r="J26" s="2"/>
      <c r="M26" s="2">
        <v>23</v>
      </c>
      <c r="N26" s="2">
        <f t="shared" si="5"/>
        <v>169</v>
      </c>
      <c r="O26" s="2">
        <v>0</v>
      </c>
      <c r="P26" s="2">
        <v>15</v>
      </c>
      <c r="Q26" s="2">
        <f t="shared" si="1"/>
        <v>7.5</v>
      </c>
      <c r="R26" s="2">
        <v>2</v>
      </c>
      <c r="S26" s="2"/>
    </row>
    <row r="27" spans="4:19" x14ac:dyDescent="0.3">
      <c r="D27" s="2">
        <v>24</v>
      </c>
      <c r="E27" s="2">
        <f t="shared" si="4"/>
        <v>176.5</v>
      </c>
      <c r="F27" s="2">
        <v>0</v>
      </c>
      <c r="G27" s="2">
        <v>-15</v>
      </c>
      <c r="H27" s="2">
        <f t="shared" si="0"/>
        <v>7.5</v>
      </c>
      <c r="I27" s="2">
        <v>5</v>
      </c>
      <c r="J27" s="2">
        <v>5</v>
      </c>
      <c r="M27" s="2">
        <v>24</v>
      </c>
      <c r="N27" s="2">
        <f t="shared" si="5"/>
        <v>176.5</v>
      </c>
      <c r="O27" s="2">
        <v>0</v>
      </c>
      <c r="P27" s="2">
        <v>15</v>
      </c>
      <c r="Q27" s="2">
        <f t="shared" si="1"/>
        <v>7.5</v>
      </c>
      <c r="R27" s="2">
        <v>5</v>
      </c>
      <c r="S27" s="2"/>
    </row>
    <row r="28" spans="4:19" x14ac:dyDescent="0.3">
      <c r="D28" s="2">
        <v>25</v>
      </c>
      <c r="E28" s="2">
        <f t="shared" si="4"/>
        <v>184</v>
      </c>
      <c r="F28" s="2">
        <v>0</v>
      </c>
      <c r="G28" s="2">
        <v>-15</v>
      </c>
      <c r="H28" s="2">
        <f t="shared" si="0"/>
        <v>7.5</v>
      </c>
      <c r="I28" s="2">
        <v>2</v>
      </c>
      <c r="J28" s="2"/>
      <c r="M28" s="2">
        <v>25</v>
      </c>
      <c r="N28" s="2">
        <f t="shared" si="5"/>
        <v>184</v>
      </c>
      <c r="O28" s="2">
        <v>0</v>
      </c>
      <c r="P28" s="2">
        <v>15</v>
      </c>
      <c r="Q28" s="2">
        <f t="shared" si="1"/>
        <v>7.5</v>
      </c>
      <c r="R28" s="2">
        <v>2</v>
      </c>
      <c r="S28" s="2"/>
    </row>
    <row r="29" spans="4:19" x14ac:dyDescent="0.3">
      <c r="D29" s="2">
        <v>26</v>
      </c>
      <c r="E29" s="2">
        <f t="shared" si="4"/>
        <v>191.5</v>
      </c>
      <c r="F29" s="2">
        <v>0</v>
      </c>
      <c r="G29" s="2">
        <v>-15</v>
      </c>
      <c r="H29" s="2">
        <f t="shared" si="0"/>
        <v>7.5</v>
      </c>
      <c r="I29" s="2">
        <v>3</v>
      </c>
      <c r="J29" s="2"/>
      <c r="M29" s="2">
        <v>26</v>
      </c>
      <c r="N29" s="2">
        <f t="shared" si="5"/>
        <v>191.5</v>
      </c>
      <c r="O29" s="2">
        <v>0</v>
      </c>
      <c r="P29" s="2">
        <v>15</v>
      </c>
      <c r="Q29" s="2">
        <f t="shared" si="1"/>
        <v>7.5</v>
      </c>
      <c r="R29" s="2">
        <v>3</v>
      </c>
      <c r="S29" s="2"/>
    </row>
    <row r="30" spans="4:19" x14ac:dyDescent="0.3">
      <c r="D30" s="2">
        <v>27</v>
      </c>
      <c r="E30" s="2">
        <f t="shared" si="4"/>
        <v>199</v>
      </c>
      <c r="F30" s="2">
        <v>0</v>
      </c>
      <c r="G30" s="2">
        <v>-15</v>
      </c>
      <c r="H30" s="2">
        <f t="shared" si="0"/>
        <v>7.5</v>
      </c>
      <c r="I30" s="2">
        <v>2</v>
      </c>
      <c r="J30" s="2"/>
      <c r="M30" s="2">
        <v>27</v>
      </c>
      <c r="N30" s="2">
        <f t="shared" si="5"/>
        <v>199</v>
      </c>
      <c r="O30" s="2">
        <v>0</v>
      </c>
      <c r="P30" s="2">
        <v>15</v>
      </c>
      <c r="Q30" s="2">
        <f t="shared" si="1"/>
        <v>7.5</v>
      </c>
      <c r="R30" s="2">
        <v>2</v>
      </c>
      <c r="S30" s="2"/>
    </row>
    <row r="31" spans="4:19" x14ac:dyDescent="0.3">
      <c r="D31" s="2">
        <v>28</v>
      </c>
      <c r="E31" s="2">
        <f t="shared" si="4"/>
        <v>206.5</v>
      </c>
      <c r="F31" s="2">
        <v>0</v>
      </c>
      <c r="G31" s="2">
        <v>-15</v>
      </c>
      <c r="H31" s="2">
        <f t="shared" si="0"/>
        <v>7.5</v>
      </c>
      <c r="I31" s="2">
        <v>5</v>
      </c>
      <c r="J31" s="2">
        <v>5</v>
      </c>
      <c r="M31" s="2">
        <v>28</v>
      </c>
      <c r="N31" s="2">
        <f t="shared" si="5"/>
        <v>206.5</v>
      </c>
      <c r="O31" s="2">
        <v>0</v>
      </c>
      <c r="P31" s="2">
        <v>15</v>
      </c>
      <c r="Q31" s="2">
        <f t="shared" si="1"/>
        <v>7.5</v>
      </c>
      <c r="R31" s="2">
        <v>5</v>
      </c>
      <c r="S31" s="2"/>
    </row>
    <row r="32" spans="4:19" x14ac:dyDescent="0.3">
      <c r="D32" s="2">
        <v>29</v>
      </c>
      <c r="E32" s="2">
        <f t="shared" si="4"/>
        <v>214</v>
      </c>
      <c r="F32" s="2">
        <v>0</v>
      </c>
      <c r="G32" s="2">
        <v>-15</v>
      </c>
      <c r="H32" s="2">
        <f t="shared" si="0"/>
        <v>7.5</v>
      </c>
      <c r="I32" s="2">
        <v>2</v>
      </c>
      <c r="J32" s="2"/>
      <c r="M32" s="2">
        <v>29</v>
      </c>
      <c r="N32" s="2">
        <f t="shared" si="5"/>
        <v>214</v>
      </c>
      <c r="O32" s="2">
        <v>0</v>
      </c>
      <c r="P32" s="2">
        <v>15</v>
      </c>
      <c r="Q32" s="2">
        <f t="shared" si="1"/>
        <v>7.5</v>
      </c>
      <c r="R32" s="2">
        <v>2</v>
      </c>
      <c r="S32" s="2"/>
    </row>
    <row r="33" spans="3:19" x14ac:dyDescent="0.3">
      <c r="D33" s="2">
        <v>30</v>
      </c>
      <c r="E33" s="2">
        <f t="shared" si="4"/>
        <v>221.5</v>
      </c>
      <c r="F33" s="2">
        <v>0</v>
      </c>
      <c r="G33" s="2">
        <v>-15</v>
      </c>
      <c r="H33" s="2">
        <f t="shared" si="0"/>
        <v>7.5</v>
      </c>
      <c r="I33" s="2">
        <v>3</v>
      </c>
      <c r="J33" s="2"/>
      <c r="M33" s="2">
        <v>30</v>
      </c>
      <c r="N33" s="2">
        <f t="shared" si="5"/>
        <v>221.5</v>
      </c>
      <c r="O33" s="2">
        <v>0</v>
      </c>
      <c r="P33" s="2">
        <v>15</v>
      </c>
      <c r="Q33" s="2">
        <f t="shared" si="1"/>
        <v>7.5</v>
      </c>
      <c r="R33" s="2">
        <v>3</v>
      </c>
      <c r="S33" s="2"/>
    </row>
    <row r="34" spans="3:19" x14ac:dyDescent="0.3">
      <c r="D34" s="2">
        <v>31</v>
      </c>
      <c r="E34" s="2">
        <f t="shared" si="4"/>
        <v>229</v>
      </c>
      <c r="F34" s="2">
        <v>0</v>
      </c>
      <c r="G34" s="2">
        <v>-15</v>
      </c>
      <c r="H34" s="2">
        <f t="shared" si="0"/>
        <v>6</v>
      </c>
      <c r="I34" s="2">
        <v>2</v>
      </c>
      <c r="J34" s="2"/>
      <c r="M34" s="2">
        <v>31</v>
      </c>
      <c r="N34" s="2">
        <f t="shared" si="5"/>
        <v>229</v>
      </c>
      <c r="O34" s="2">
        <v>0</v>
      </c>
      <c r="P34" s="2">
        <v>15</v>
      </c>
      <c r="Q34" s="2">
        <f t="shared" si="1"/>
        <v>6</v>
      </c>
      <c r="R34" s="2">
        <v>2</v>
      </c>
      <c r="S34" s="2"/>
    </row>
    <row r="35" spans="3:19" x14ac:dyDescent="0.3">
      <c r="C35" s="6"/>
      <c r="D35" s="2">
        <v>32</v>
      </c>
      <c r="E35" s="2">
        <f>E34+6</f>
        <v>235</v>
      </c>
      <c r="F35" s="2">
        <v>0</v>
      </c>
      <c r="G35" s="2">
        <v>-15</v>
      </c>
      <c r="H35" s="2">
        <f t="shared" si="0"/>
        <v>6</v>
      </c>
      <c r="I35" s="2">
        <v>5</v>
      </c>
      <c r="J35" s="2">
        <v>5</v>
      </c>
      <c r="M35" s="2">
        <v>32</v>
      </c>
      <c r="N35" s="2">
        <f>N34+6</f>
        <v>235</v>
      </c>
      <c r="O35" s="2">
        <v>0</v>
      </c>
      <c r="P35" s="2">
        <v>15</v>
      </c>
      <c r="Q35" s="2">
        <f t="shared" si="1"/>
        <v>6</v>
      </c>
      <c r="R35" s="2">
        <v>5</v>
      </c>
      <c r="S35" s="2"/>
    </row>
    <row r="36" spans="3:19" x14ac:dyDescent="0.3">
      <c r="C36" s="6"/>
      <c r="D36" s="2">
        <v>33</v>
      </c>
      <c r="E36" s="2">
        <f t="shared" ref="E36:E37" si="6">E35+6</f>
        <v>241</v>
      </c>
      <c r="F36" s="2">
        <v>0</v>
      </c>
      <c r="G36" s="2">
        <v>-15</v>
      </c>
      <c r="H36" s="2">
        <f t="shared" si="0"/>
        <v>6</v>
      </c>
      <c r="I36" s="2">
        <v>3</v>
      </c>
      <c r="J36" s="2"/>
      <c r="M36" s="2">
        <v>33</v>
      </c>
      <c r="N36" s="2">
        <f t="shared" ref="N36:N37" si="7">N35+6</f>
        <v>241</v>
      </c>
      <c r="O36" s="2">
        <v>0</v>
      </c>
      <c r="P36" s="2">
        <v>15</v>
      </c>
      <c r="Q36" s="2">
        <f t="shared" si="1"/>
        <v>6</v>
      </c>
      <c r="R36" s="2">
        <v>3</v>
      </c>
      <c r="S36" s="2"/>
    </row>
    <row r="37" spans="3:19" x14ac:dyDescent="0.3">
      <c r="C37" s="6"/>
      <c r="D37" s="2">
        <v>34</v>
      </c>
      <c r="E37" s="2">
        <f t="shared" si="6"/>
        <v>247</v>
      </c>
      <c r="F37" s="2">
        <v>0</v>
      </c>
      <c r="G37" s="2">
        <v>-15</v>
      </c>
      <c r="H37" s="2">
        <f t="shared" si="0"/>
        <v>7</v>
      </c>
      <c r="I37" s="2">
        <v>4</v>
      </c>
      <c r="J37" s="2"/>
      <c r="M37" s="2">
        <v>34</v>
      </c>
      <c r="N37" s="2">
        <f t="shared" si="7"/>
        <v>247</v>
      </c>
      <c r="O37" s="2">
        <v>0</v>
      </c>
      <c r="P37" s="2">
        <v>15</v>
      </c>
      <c r="Q37" s="2">
        <f t="shared" si="1"/>
        <v>7</v>
      </c>
      <c r="R37" s="2">
        <v>4</v>
      </c>
      <c r="S37" s="2"/>
    </row>
    <row r="38" spans="3:19" x14ac:dyDescent="0.3">
      <c r="C38" s="6"/>
      <c r="D38" s="2">
        <v>35</v>
      </c>
      <c r="E38" s="2">
        <f>E37+7</f>
        <v>254</v>
      </c>
      <c r="F38" s="2">
        <v>0</v>
      </c>
      <c r="G38" s="2">
        <v>-15</v>
      </c>
      <c r="H38" s="2">
        <f t="shared" si="0"/>
        <v>8</v>
      </c>
      <c r="I38" s="2">
        <v>3</v>
      </c>
      <c r="J38" s="2"/>
      <c r="M38" s="2">
        <v>35</v>
      </c>
      <c r="N38" s="2">
        <f>N37+7</f>
        <v>254</v>
      </c>
      <c r="O38" s="2">
        <v>0</v>
      </c>
      <c r="P38" s="2">
        <v>15</v>
      </c>
      <c r="Q38" s="2">
        <f t="shared" si="1"/>
        <v>8</v>
      </c>
      <c r="R38" s="2">
        <v>3</v>
      </c>
      <c r="S38" s="2"/>
    </row>
    <row r="39" spans="3:19" x14ac:dyDescent="0.3">
      <c r="C39" s="6"/>
      <c r="D39" s="2">
        <v>36</v>
      </c>
      <c r="E39" s="2">
        <f>E38+8</f>
        <v>262</v>
      </c>
      <c r="F39" s="2">
        <v>0</v>
      </c>
      <c r="G39" s="2">
        <v>-15</v>
      </c>
      <c r="H39" s="2">
        <f t="shared" si="0"/>
        <v>8</v>
      </c>
      <c r="I39" s="2">
        <v>5</v>
      </c>
      <c r="J39" s="2">
        <v>5</v>
      </c>
      <c r="M39" s="2">
        <v>36</v>
      </c>
      <c r="N39" s="2">
        <f>N38+8</f>
        <v>262</v>
      </c>
      <c r="O39" s="2">
        <v>0</v>
      </c>
      <c r="P39" s="2">
        <v>15</v>
      </c>
      <c r="Q39" s="2">
        <f t="shared" si="1"/>
        <v>8</v>
      </c>
      <c r="R39" s="2">
        <v>5</v>
      </c>
      <c r="S39" s="2"/>
    </row>
    <row r="40" spans="3:19" x14ac:dyDescent="0.3">
      <c r="C40" s="6"/>
      <c r="D40" s="2">
        <v>37</v>
      </c>
      <c r="E40" s="2">
        <f t="shared" ref="E40:E42" si="8">E39+8</f>
        <v>270</v>
      </c>
      <c r="F40" s="2">
        <v>0</v>
      </c>
      <c r="G40" s="2">
        <v>-15</v>
      </c>
      <c r="H40" s="2">
        <f t="shared" si="0"/>
        <v>8</v>
      </c>
      <c r="I40" s="2">
        <v>3</v>
      </c>
      <c r="J40" s="2"/>
      <c r="M40" s="2">
        <v>37</v>
      </c>
      <c r="N40" s="2">
        <f t="shared" ref="N40:N42" si="9">N39+8</f>
        <v>270</v>
      </c>
      <c r="O40" s="2">
        <v>0</v>
      </c>
      <c r="P40" s="2">
        <v>15</v>
      </c>
      <c r="Q40" s="2">
        <f t="shared" si="1"/>
        <v>8</v>
      </c>
      <c r="R40" s="2">
        <v>3</v>
      </c>
      <c r="S40" s="2"/>
    </row>
    <row r="41" spans="3:19" x14ac:dyDescent="0.3">
      <c r="C41" s="6"/>
      <c r="D41" s="2">
        <v>38</v>
      </c>
      <c r="E41" s="2">
        <f t="shared" si="8"/>
        <v>278</v>
      </c>
      <c r="F41" s="2">
        <v>0</v>
      </c>
      <c r="G41" s="2">
        <v>-15</v>
      </c>
      <c r="H41" s="2">
        <f t="shared" si="0"/>
        <v>8</v>
      </c>
      <c r="I41" s="2">
        <v>3</v>
      </c>
      <c r="J41" s="2"/>
      <c r="M41" s="2">
        <v>38</v>
      </c>
      <c r="N41" s="2">
        <f t="shared" si="9"/>
        <v>278</v>
      </c>
      <c r="O41" s="2">
        <v>0</v>
      </c>
      <c r="P41" s="2">
        <v>15</v>
      </c>
      <c r="Q41" s="2">
        <f t="shared" si="1"/>
        <v>8</v>
      </c>
      <c r="R41" s="2">
        <v>3</v>
      </c>
      <c r="S41" s="2"/>
    </row>
    <row r="42" spans="3:19" x14ac:dyDescent="0.3">
      <c r="C42" s="6"/>
      <c r="D42" s="2">
        <v>39</v>
      </c>
      <c r="E42" s="2">
        <f t="shared" si="8"/>
        <v>286</v>
      </c>
      <c r="F42" s="2">
        <v>0</v>
      </c>
      <c r="G42" s="2">
        <v>-15</v>
      </c>
      <c r="H42" s="2">
        <f t="shared" si="0"/>
        <v>7</v>
      </c>
      <c r="I42" s="2">
        <v>3</v>
      </c>
      <c r="J42" s="2"/>
      <c r="M42" s="2">
        <v>39</v>
      </c>
      <c r="N42" s="2">
        <f t="shared" si="9"/>
        <v>286</v>
      </c>
      <c r="O42" s="2">
        <v>0</v>
      </c>
      <c r="P42" s="2">
        <v>15</v>
      </c>
      <c r="Q42" s="2">
        <f t="shared" si="1"/>
        <v>7</v>
      </c>
      <c r="R42" s="2">
        <v>3</v>
      </c>
      <c r="S42" s="2"/>
    </row>
    <row r="43" spans="3:19" x14ac:dyDescent="0.3">
      <c r="C43" s="6"/>
      <c r="D43" s="2">
        <v>40</v>
      </c>
      <c r="E43" s="2">
        <f>E42+7</f>
        <v>293</v>
      </c>
      <c r="F43" s="2">
        <v>0</v>
      </c>
      <c r="G43" s="2">
        <v>-15</v>
      </c>
      <c r="H43" s="2">
        <f t="shared" si="0"/>
        <v>6</v>
      </c>
      <c r="I43" s="2">
        <v>4</v>
      </c>
      <c r="J43" s="2">
        <v>5</v>
      </c>
      <c r="M43" s="2">
        <v>40</v>
      </c>
      <c r="N43" s="2">
        <f>N42+7</f>
        <v>293</v>
      </c>
      <c r="O43" s="2">
        <v>0</v>
      </c>
      <c r="P43" s="2">
        <v>15</v>
      </c>
      <c r="Q43" s="2">
        <f t="shared" si="1"/>
        <v>6</v>
      </c>
      <c r="R43" s="2">
        <v>4</v>
      </c>
      <c r="S43" s="2"/>
    </row>
    <row r="44" spans="3:19" x14ac:dyDescent="0.3">
      <c r="C44" s="6"/>
      <c r="D44" s="2">
        <v>41</v>
      </c>
      <c r="E44" s="2">
        <f>E43+6</f>
        <v>299</v>
      </c>
      <c r="F44" s="2">
        <v>0</v>
      </c>
      <c r="G44" s="2">
        <v>-15</v>
      </c>
      <c r="H44" s="2">
        <f t="shared" si="0"/>
        <v>6</v>
      </c>
      <c r="I44" s="2">
        <v>3</v>
      </c>
      <c r="J44" s="2"/>
      <c r="M44" s="2">
        <v>41</v>
      </c>
      <c r="N44" s="2">
        <f>N43+6</f>
        <v>299</v>
      </c>
      <c r="O44" s="2">
        <v>0</v>
      </c>
      <c r="P44" s="2">
        <v>15</v>
      </c>
      <c r="Q44" s="2">
        <f t="shared" si="1"/>
        <v>6</v>
      </c>
      <c r="R44" s="2">
        <v>3</v>
      </c>
      <c r="S44" s="2"/>
    </row>
    <row r="45" spans="3:19" x14ac:dyDescent="0.3">
      <c r="C45" s="6"/>
      <c r="D45" s="2">
        <v>42</v>
      </c>
      <c r="E45" s="2">
        <f t="shared" ref="E45:E46" si="10">E44+6</f>
        <v>305</v>
      </c>
      <c r="F45" s="2">
        <v>0</v>
      </c>
      <c r="G45" s="2">
        <v>-15</v>
      </c>
      <c r="H45" s="2">
        <f t="shared" si="0"/>
        <v>6</v>
      </c>
      <c r="I45" s="2">
        <v>3</v>
      </c>
      <c r="J45" s="2"/>
      <c r="M45" s="2">
        <v>42</v>
      </c>
      <c r="N45" s="2">
        <f t="shared" ref="N45:N46" si="11">N44+6</f>
        <v>305</v>
      </c>
      <c r="O45" s="2">
        <v>0</v>
      </c>
      <c r="P45" s="2">
        <v>15</v>
      </c>
      <c r="Q45" s="2">
        <f t="shared" si="1"/>
        <v>6</v>
      </c>
      <c r="R45" s="2">
        <v>3</v>
      </c>
      <c r="S45" s="2"/>
    </row>
    <row r="46" spans="3:19" x14ac:dyDescent="0.3">
      <c r="C46" s="6"/>
      <c r="D46" s="2">
        <v>43</v>
      </c>
      <c r="E46" s="2">
        <f t="shared" si="10"/>
        <v>311</v>
      </c>
      <c r="F46" s="2">
        <v>0</v>
      </c>
      <c r="G46" s="2">
        <v>-15</v>
      </c>
      <c r="H46" s="2">
        <f t="shared" si="0"/>
        <v>7.5</v>
      </c>
      <c r="I46" s="2">
        <v>2</v>
      </c>
      <c r="J46" s="2"/>
      <c r="M46" s="2">
        <v>43</v>
      </c>
      <c r="N46" s="2">
        <f t="shared" si="11"/>
        <v>311</v>
      </c>
      <c r="O46" s="2">
        <v>0</v>
      </c>
      <c r="P46" s="2">
        <v>15</v>
      </c>
      <c r="Q46" s="2">
        <f t="shared" si="1"/>
        <v>7.5</v>
      </c>
      <c r="R46" s="2">
        <v>2</v>
      </c>
      <c r="S46" s="2"/>
    </row>
    <row r="47" spans="3:19" x14ac:dyDescent="0.3">
      <c r="C47" s="6"/>
      <c r="D47" s="2">
        <v>44</v>
      </c>
      <c r="E47" s="2">
        <f>E46+7.5</f>
        <v>318.5</v>
      </c>
      <c r="F47" s="2">
        <v>0</v>
      </c>
      <c r="G47" s="2">
        <v>-15</v>
      </c>
      <c r="H47" s="2">
        <f t="shared" si="0"/>
        <v>7.5</v>
      </c>
      <c r="I47" s="2">
        <v>5</v>
      </c>
      <c r="J47" s="2">
        <v>5</v>
      </c>
      <c r="M47" s="2">
        <v>44</v>
      </c>
      <c r="N47" s="2">
        <f>N46+7.5</f>
        <v>318.5</v>
      </c>
      <c r="O47" s="2">
        <v>0</v>
      </c>
      <c r="P47" s="2">
        <v>15</v>
      </c>
      <c r="Q47" s="2">
        <f t="shared" si="1"/>
        <v>7.5</v>
      </c>
      <c r="R47" s="2">
        <v>5</v>
      </c>
      <c r="S47" s="2"/>
    </row>
    <row r="48" spans="3:19" x14ac:dyDescent="0.3">
      <c r="C48" s="6"/>
      <c r="D48" s="2">
        <v>45</v>
      </c>
      <c r="E48" s="2">
        <f t="shared" ref="E48:E111" si="12">E47+7.5</f>
        <v>326</v>
      </c>
      <c r="F48" s="2">
        <v>0</v>
      </c>
      <c r="G48" s="2">
        <v>-15</v>
      </c>
      <c r="H48" s="2">
        <f t="shared" si="0"/>
        <v>7.5</v>
      </c>
      <c r="I48" s="2">
        <v>2</v>
      </c>
      <c r="J48" s="2"/>
      <c r="M48" s="2">
        <v>45</v>
      </c>
      <c r="N48" s="2">
        <f t="shared" ref="N48:N111" si="13">N47+7.5</f>
        <v>326</v>
      </c>
      <c r="O48" s="2">
        <v>0</v>
      </c>
      <c r="P48" s="2">
        <v>15</v>
      </c>
      <c r="Q48" s="2">
        <f t="shared" si="1"/>
        <v>7.5</v>
      </c>
      <c r="R48" s="2">
        <v>2</v>
      </c>
      <c r="S48" s="2"/>
    </row>
    <row r="49" spans="3:19" x14ac:dyDescent="0.3">
      <c r="C49" s="6"/>
      <c r="D49" s="2">
        <v>46</v>
      </c>
      <c r="E49" s="2">
        <f t="shared" si="12"/>
        <v>333.5</v>
      </c>
      <c r="F49" s="2">
        <v>0</v>
      </c>
      <c r="G49" s="2">
        <v>-15</v>
      </c>
      <c r="H49" s="2">
        <f t="shared" si="0"/>
        <v>7.5</v>
      </c>
      <c r="I49" s="2">
        <v>3</v>
      </c>
      <c r="J49" s="2"/>
      <c r="M49" s="2">
        <v>46</v>
      </c>
      <c r="N49" s="2">
        <f t="shared" si="13"/>
        <v>333.5</v>
      </c>
      <c r="O49" s="2">
        <v>0</v>
      </c>
      <c r="P49" s="2">
        <v>15</v>
      </c>
      <c r="Q49" s="2">
        <f t="shared" si="1"/>
        <v>7.5</v>
      </c>
      <c r="R49" s="2">
        <v>3</v>
      </c>
      <c r="S49" s="2"/>
    </row>
    <row r="50" spans="3:19" x14ac:dyDescent="0.3">
      <c r="C50" s="6"/>
      <c r="D50" s="2">
        <v>47</v>
      </c>
      <c r="E50" s="2">
        <f t="shared" si="12"/>
        <v>341</v>
      </c>
      <c r="F50" s="2">
        <v>0</v>
      </c>
      <c r="G50" s="2">
        <v>-15</v>
      </c>
      <c r="H50" s="2">
        <f t="shared" si="0"/>
        <v>7.5</v>
      </c>
      <c r="I50" s="2">
        <v>2</v>
      </c>
      <c r="J50" s="2"/>
      <c r="M50" s="2">
        <v>47</v>
      </c>
      <c r="N50" s="2">
        <f t="shared" si="13"/>
        <v>341</v>
      </c>
      <c r="O50" s="2">
        <v>0</v>
      </c>
      <c r="P50" s="2">
        <v>15</v>
      </c>
      <c r="Q50" s="2">
        <f t="shared" si="1"/>
        <v>7.5</v>
      </c>
      <c r="R50" s="2">
        <v>2</v>
      </c>
      <c r="S50" s="2"/>
    </row>
    <row r="51" spans="3:19" x14ac:dyDescent="0.3">
      <c r="C51" s="6"/>
      <c r="D51" s="2">
        <v>48</v>
      </c>
      <c r="E51" s="2">
        <f t="shared" si="12"/>
        <v>348.5</v>
      </c>
      <c r="F51" s="2">
        <v>0</v>
      </c>
      <c r="G51" s="2">
        <v>-15</v>
      </c>
      <c r="H51" s="2">
        <f t="shared" si="0"/>
        <v>7.5</v>
      </c>
      <c r="I51" s="2">
        <v>5</v>
      </c>
      <c r="J51" s="2">
        <v>5</v>
      </c>
      <c r="M51" s="2">
        <v>48</v>
      </c>
      <c r="N51" s="2">
        <f t="shared" si="13"/>
        <v>348.5</v>
      </c>
      <c r="O51" s="2">
        <v>0</v>
      </c>
      <c r="P51" s="2">
        <v>15</v>
      </c>
      <c r="Q51" s="2">
        <f t="shared" si="1"/>
        <v>7.5</v>
      </c>
      <c r="R51" s="2">
        <v>5</v>
      </c>
      <c r="S51" s="2"/>
    </row>
    <row r="52" spans="3:19" x14ac:dyDescent="0.3">
      <c r="C52" s="6"/>
      <c r="D52" s="2">
        <v>49</v>
      </c>
      <c r="E52" s="2">
        <f t="shared" si="12"/>
        <v>356</v>
      </c>
      <c r="F52" s="2">
        <v>0</v>
      </c>
      <c r="G52" s="2">
        <v>-15</v>
      </c>
      <c r="H52" s="2">
        <f t="shared" si="0"/>
        <v>7.5</v>
      </c>
      <c r="I52" s="2">
        <v>2</v>
      </c>
      <c r="J52" s="2"/>
      <c r="M52" s="2">
        <v>49</v>
      </c>
      <c r="N52" s="2">
        <f t="shared" si="13"/>
        <v>356</v>
      </c>
      <c r="O52" s="2">
        <v>0</v>
      </c>
      <c r="P52" s="2">
        <v>15</v>
      </c>
      <c r="Q52" s="2">
        <f t="shared" si="1"/>
        <v>7.5</v>
      </c>
      <c r="R52" s="2">
        <v>2</v>
      </c>
      <c r="S52" s="2"/>
    </row>
    <row r="53" spans="3:19" x14ac:dyDescent="0.3">
      <c r="C53" s="6"/>
      <c r="D53" s="2">
        <v>50</v>
      </c>
      <c r="E53" s="2">
        <f t="shared" si="12"/>
        <v>363.5</v>
      </c>
      <c r="F53" s="2">
        <v>0</v>
      </c>
      <c r="G53" s="2">
        <v>-15</v>
      </c>
      <c r="H53" s="2">
        <f t="shared" si="0"/>
        <v>7.5</v>
      </c>
      <c r="I53" s="2">
        <v>3</v>
      </c>
      <c r="J53" s="2"/>
      <c r="M53" s="2">
        <v>50</v>
      </c>
      <c r="N53" s="2">
        <f t="shared" si="13"/>
        <v>363.5</v>
      </c>
      <c r="O53" s="2">
        <v>0</v>
      </c>
      <c r="P53" s="2">
        <v>15</v>
      </c>
      <c r="Q53" s="2">
        <f t="shared" si="1"/>
        <v>7.5</v>
      </c>
      <c r="R53" s="2">
        <v>3</v>
      </c>
      <c r="S53" s="2"/>
    </row>
    <row r="54" spans="3:19" x14ac:dyDescent="0.3">
      <c r="C54" s="6"/>
      <c r="D54" s="2">
        <v>51</v>
      </c>
      <c r="E54" s="2">
        <f t="shared" si="12"/>
        <v>371</v>
      </c>
      <c r="F54" s="2">
        <v>0</v>
      </c>
      <c r="G54" s="2">
        <v>-15</v>
      </c>
      <c r="H54" s="2">
        <f t="shared" si="0"/>
        <v>7.5</v>
      </c>
      <c r="I54" s="2">
        <v>2</v>
      </c>
      <c r="J54" s="2"/>
      <c r="M54" s="2">
        <v>51</v>
      </c>
      <c r="N54" s="2">
        <f t="shared" si="13"/>
        <v>371</v>
      </c>
      <c r="O54" s="2">
        <v>0</v>
      </c>
      <c r="P54" s="2">
        <v>15</v>
      </c>
      <c r="Q54" s="2">
        <f t="shared" si="1"/>
        <v>7.5</v>
      </c>
      <c r="R54" s="2">
        <v>2</v>
      </c>
      <c r="S54" s="2"/>
    </row>
    <row r="55" spans="3:19" x14ac:dyDescent="0.3">
      <c r="C55" s="6"/>
      <c r="D55" s="2">
        <v>52</v>
      </c>
      <c r="E55" s="2">
        <f t="shared" si="12"/>
        <v>378.5</v>
      </c>
      <c r="F55" s="2">
        <v>0</v>
      </c>
      <c r="G55" s="2">
        <v>-15</v>
      </c>
      <c r="H55" s="2">
        <f t="shared" si="0"/>
        <v>7.5</v>
      </c>
      <c r="I55" s="2">
        <v>5</v>
      </c>
      <c r="J55" s="2">
        <v>5</v>
      </c>
      <c r="M55" s="2">
        <v>52</v>
      </c>
      <c r="N55" s="2">
        <f t="shared" si="13"/>
        <v>378.5</v>
      </c>
      <c r="O55" s="2">
        <v>0</v>
      </c>
      <c r="P55" s="2">
        <v>15</v>
      </c>
      <c r="Q55" s="2">
        <f t="shared" si="1"/>
        <v>7.5</v>
      </c>
      <c r="R55" s="2">
        <v>5</v>
      </c>
      <c r="S55" s="2"/>
    </row>
    <row r="56" spans="3:19" x14ac:dyDescent="0.3">
      <c r="C56" s="6"/>
      <c r="D56" s="2">
        <v>53</v>
      </c>
      <c r="E56" s="2">
        <f t="shared" si="12"/>
        <v>386</v>
      </c>
      <c r="F56" s="2">
        <v>0</v>
      </c>
      <c r="G56" s="2">
        <v>-15</v>
      </c>
      <c r="H56" s="2">
        <f t="shared" si="0"/>
        <v>7.5</v>
      </c>
      <c r="I56" s="2">
        <v>2</v>
      </c>
      <c r="J56" s="2"/>
      <c r="M56" s="2">
        <v>53</v>
      </c>
      <c r="N56" s="2">
        <f t="shared" si="13"/>
        <v>386</v>
      </c>
      <c r="O56" s="2">
        <v>0</v>
      </c>
      <c r="P56" s="2">
        <v>15</v>
      </c>
      <c r="Q56" s="2">
        <f t="shared" si="1"/>
        <v>7.5</v>
      </c>
      <c r="R56" s="2">
        <v>2</v>
      </c>
      <c r="S56" s="2"/>
    </row>
    <row r="57" spans="3:19" x14ac:dyDescent="0.3">
      <c r="C57" s="6"/>
      <c r="D57" s="2">
        <v>54</v>
      </c>
      <c r="E57" s="2">
        <f t="shared" si="12"/>
        <v>393.5</v>
      </c>
      <c r="F57" s="2">
        <v>0</v>
      </c>
      <c r="G57" s="2">
        <v>-15</v>
      </c>
      <c r="H57" s="2">
        <f t="shared" si="0"/>
        <v>7.5</v>
      </c>
      <c r="I57" s="2">
        <v>3</v>
      </c>
      <c r="J57" s="2"/>
      <c r="M57" s="2">
        <v>54</v>
      </c>
      <c r="N57" s="2">
        <f t="shared" si="13"/>
        <v>393.5</v>
      </c>
      <c r="O57" s="2">
        <v>0</v>
      </c>
      <c r="P57" s="2">
        <v>15</v>
      </c>
      <c r="Q57" s="2">
        <f t="shared" si="1"/>
        <v>7.5</v>
      </c>
      <c r="R57" s="2">
        <v>3</v>
      </c>
      <c r="S57" s="2"/>
    </row>
    <row r="58" spans="3:19" x14ac:dyDescent="0.3">
      <c r="C58" s="6"/>
      <c r="D58" s="2">
        <v>55</v>
      </c>
      <c r="E58" s="2">
        <f t="shared" si="12"/>
        <v>401</v>
      </c>
      <c r="F58" s="2">
        <v>0</v>
      </c>
      <c r="G58" s="2">
        <v>-15</v>
      </c>
      <c r="H58" s="2">
        <f t="shared" si="0"/>
        <v>7.5</v>
      </c>
      <c r="I58" s="2">
        <v>2</v>
      </c>
      <c r="J58" s="2"/>
      <c r="M58" s="2">
        <v>55</v>
      </c>
      <c r="N58" s="2">
        <f t="shared" si="13"/>
        <v>401</v>
      </c>
      <c r="O58" s="2">
        <v>0</v>
      </c>
      <c r="P58" s="2">
        <v>15</v>
      </c>
      <c r="Q58" s="2">
        <f t="shared" si="1"/>
        <v>7.5</v>
      </c>
      <c r="R58" s="2">
        <v>2</v>
      </c>
      <c r="S58" s="2"/>
    </row>
    <row r="59" spans="3:19" x14ac:dyDescent="0.3">
      <c r="C59" s="6"/>
      <c r="D59" s="2">
        <v>56</v>
      </c>
      <c r="E59" s="2">
        <f t="shared" si="12"/>
        <v>408.5</v>
      </c>
      <c r="F59" s="2">
        <v>0</v>
      </c>
      <c r="G59" s="2">
        <v>-15</v>
      </c>
      <c r="H59" s="2">
        <f t="shared" si="0"/>
        <v>7.5</v>
      </c>
      <c r="I59" s="2">
        <v>5</v>
      </c>
      <c r="J59" s="2">
        <v>5</v>
      </c>
      <c r="M59" s="2">
        <v>56</v>
      </c>
      <c r="N59" s="2">
        <f t="shared" si="13"/>
        <v>408.5</v>
      </c>
      <c r="O59" s="2">
        <v>0</v>
      </c>
      <c r="P59" s="2">
        <v>15</v>
      </c>
      <c r="Q59" s="2">
        <f t="shared" si="1"/>
        <v>7.5</v>
      </c>
      <c r="R59" s="2">
        <v>5</v>
      </c>
      <c r="S59" s="2"/>
    </row>
    <row r="60" spans="3:19" x14ac:dyDescent="0.3">
      <c r="C60" s="6"/>
      <c r="D60" s="2">
        <v>57</v>
      </c>
      <c r="E60" s="2">
        <f t="shared" si="12"/>
        <v>416</v>
      </c>
      <c r="F60" s="2">
        <v>0</v>
      </c>
      <c r="G60" s="2">
        <v>-15</v>
      </c>
      <c r="H60" s="2">
        <f t="shared" si="0"/>
        <v>7.5</v>
      </c>
      <c r="I60" s="2">
        <v>2</v>
      </c>
      <c r="J60" s="2"/>
      <c r="M60" s="2">
        <v>57</v>
      </c>
      <c r="N60" s="2">
        <f t="shared" si="13"/>
        <v>416</v>
      </c>
      <c r="O60" s="2">
        <v>0</v>
      </c>
      <c r="P60" s="2">
        <v>15</v>
      </c>
      <c r="Q60" s="2">
        <f t="shared" si="1"/>
        <v>7.5</v>
      </c>
      <c r="R60" s="2">
        <v>2</v>
      </c>
      <c r="S60" s="2"/>
    </row>
    <row r="61" spans="3:19" x14ac:dyDescent="0.3">
      <c r="C61" s="6"/>
      <c r="D61" s="2">
        <v>58</v>
      </c>
      <c r="E61" s="2">
        <f t="shared" si="12"/>
        <v>423.5</v>
      </c>
      <c r="F61" s="2">
        <v>0</v>
      </c>
      <c r="G61" s="2">
        <v>-15</v>
      </c>
      <c r="H61" s="2">
        <f t="shared" si="0"/>
        <v>7.5</v>
      </c>
      <c r="I61" s="2">
        <v>3</v>
      </c>
      <c r="J61" s="2"/>
      <c r="M61" s="2">
        <v>58</v>
      </c>
      <c r="N61" s="2">
        <f t="shared" si="13"/>
        <v>423.5</v>
      </c>
      <c r="O61" s="2">
        <v>0</v>
      </c>
      <c r="P61" s="2">
        <v>15</v>
      </c>
      <c r="Q61" s="2">
        <f t="shared" si="1"/>
        <v>7.5</v>
      </c>
      <c r="R61" s="2">
        <v>3</v>
      </c>
      <c r="S61" s="2"/>
    </row>
    <row r="62" spans="3:19" x14ac:dyDescent="0.3">
      <c r="C62" s="6"/>
      <c r="D62" s="2">
        <v>59</v>
      </c>
      <c r="E62" s="2">
        <f t="shared" si="12"/>
        <v>431</v>
      </c>
      <c r="F62" s="2">
        <v>0</v>
      </c>
      <c r="G62" s="2">
        <v>-15</v>
      </c>
      <c r="H62" s="2">
        <f t="shared" si="0"/>
        <v>7.5</v>
      </c>
      <c r="I62" s="2">
        <v>2</v>
      </c>
      <c r="J62" s="2"/>
      <c r="M62" s="2">
        <v>59</v>
      </c>
      <c r="N62" s="2">
        <f t="shared" si="13"/>
        <v>431</v>
      </c>
      <c r="O62" s="2">
        <v>0</v>
      </c>
      <c r="P62" s="2">
        <v>15</v>
      </c>
      <c r="Q62" s="2">
        <f t="shared" si="1"/>
        <v>7.5</v>
      </c>
      <c r="R62" s="2">
        <v>2</v>
      </c>
      <c r="S62" s="2"/>
    </row>
    <row r="63" spans="3:19" x14ac:dyDescent="0.3">
      <c r="C63" s="6"/>
      <c r="D63" s="2">
        <v>60</v>
      </c>
      <c r="E63" s="2">
        <f t="shared" si="12"/>
        <v>438.5</v>
      </c>
      <c r="F63" s="2">
        <v>0</v>
      </c>
      <c r="G63" s="2">
        <v>-15</v>
      </c>
      <c r="H63" s="2">
        <f t="shared" si="0"/>
        <v>7.5</v>
      </c>
      <c r="I63" s="2">
        <v>5</v>
      </c>
      <c r="J63" s="2">
        <v>5</v>
      </c>
      <c r="M63" s="2">
        <v>60</v>
      </c>
      <c r="N63" s="2">
        <f t="shared" si="13"/>
        <v>438.5</v>
      </c>
      <c r="O63" s="2">
        <v>0</v>
      </c>
      <c r="P63" s="2">
        <v>15</v>
      </c>
      <c r="Q63" s="2">
        <f t="shared" si="1"/>
        <v>7.5</v>
      </c>
      <c r="R63" s="2">
        <v>5</v>
      </c>
      <c r="S63" s="2"/>
    </row>
    <row r="64" spans="3:19" x14ac:dyDescent="0.3">
      <c r="C64" s="6"/>
      <c r="D64" s="2">
        <v>61</v>
      </c>
      <c r="E64" s="2">
        <f t="shared" si="12"/>
        <v>446</v>
      </c>
      <c r="F64" s="2">
        <v>0</v>
      </c>
      <c r="G64" s="2">
        <v>-15</v>
      </c>
      <c r="H64" s="2">
        <f t="shared" si="0"/>
        <v>7.5</v>
      </c>
      <c r="I64" s="2">
        <v>2</v>
      </c>
      <c r="J64" s="2"/>
      <c r="M64" s="2">
        <v>61</v>
      </c>
      <c r="N64" s="2">
        <f t="shared" si="13"/>
        <v>446</v>
      </c>
      <c r="O64" s="2">
        <v>0</v>
      </c>
      <c r="P64" s="2">
        <v>15</v>
      </c>
      <c r="Q64" s="2">
        <f t="shared" si="1"/>
        <v>7.5</v>
      </c>
      <c r="R64" s="2">
        <v>2</v>
      </c>
      <c r="S64" s="2"/>
    </row>
    <row r="65" spans="3:19" x14ac:dyDescent="0.3">
      <c r="C65" s="6"/>
      <c r="D65" s="2">
        <v>62</v>
      </c>
      <c r="E65" s="2">
        <f t="shared" si="12"/>
        <v>453.5</v>
      </c>
      <c r="F65" s="2">
        <v>0</v>
      </c>
      <c r="G65" s="2">
        <v>-15</v>
      </c>
      <c r="H65" s="2">
        <f t="shared" si="0"/>
        <v>7.5</v>
      </c>
      <c r="I65" s="2">
        <v>3</v>
      </c>
      <c r="J65" s="2"/>
      <c r="M65" s="2">
        <v>62</v>
      </c>
      <c r="N65" s="2">
        <f t="shared" si="13"/>
        <v>453.5</v>
      </c>
      <c r="O65" s="2">
        <v>0</v>
      </c>
      <c r="P65" s="2">
        <v>15</v>
      </c>
      <c r="Q65" s="2">
        <f t="shared" si="1"/>
        <v>7.5</v>
      </c>
      <c r="R65" s="2">
        <v>3</v>
      </c>
      <c r="S65" s="2"/>
    </row>
    <row r="66" spans="3:19" x14ac:dyDescent="0.3">
      <c r="C66" s="6"/>
      <c r="D66" s="2">
        <v>63</v>
      </c>
      <c r="E66" s="2">
        <f t="shared" si="12"/>
        <v>461</v>
      </c>
      <c r="F66" s="2">
        <v>0</v>
      </c>
      <c r="G66" s="2">
        <v>-15</v>
      </c>
      <c r="H66" s="2">
        <f t="shared" si="0"/>
        <v>7.5</v>
      </c>
      <c r="I66" s="2">
        <v>2</v>
      </c>
      <c r="J66" s="2"/>
      <c r="M66" s="2">
        <v>63</v>
      </c>
      <c r="N66" s="2">
        <f t="shared" si="13"/>
        <v>461</v>
      </c>
      <c r="O66" s="2">
        <v>0</v>
      </c>
      <c r="P66" s="2">
        <v>15</v>
      </c>
      <c r="Q66" s="2">
        <f t="shared" si="1"/>
        <v>7.5</v>
      </c>
      <c r="R66" s="2">
        <v>2</v>
      </c>
      <c r="S66" s="2"/>
    </row>
    <row r="67" spans="3:19" x14ac:dyDescent="0.3">
      <c r="C67" s="6"/>
      <c r="D67" s="2">
        <v>64</v>
      </c>
      <c r="E67" s="2">
        <f t="shared" si="12"/>
        <v>468.5</v>
      </c>
      <c r="F67" s="2">
        <v>0</v>
      </c>
      <c r="G67" s="2">
        <v>-15</v>
      </c>
      <c r="H67" s="2">
        <f t="shared" si="0"/>
        <v>7.5</v>
      </c>
      <c r="I67" s="2">
        <v>5</v>
      </c>
      <c r="J67" s="2">
        <v>5</v>
      </c>
      <c r="M67" s="2">
        <v>64</v>
      </c>
      <c r="N67" s="2">
        <f t="shared" si="13"/>
        <v>468.5</v>
      </c>
      <c r="O67" s="2">
        <v>0</v>
      </c>
      <c r="P67" s="2">
        <v>15</v>
      </c>
      <c r="Q67" s="2">
        <f t="shared" si="1"/>
        <v>7.5</v>
      </c>
      <c r="R67" s="2">
        <v>5</v>
      </c>
      <c r="S67" s="2"/>
    </row>
    <row r="68" spans="3:19" x14ac:dyDescent="0.3">
      <c r="C68" s="6"/>
      <c r="D68" s="2">
        <v>65</v>
      </c>
      <c r="E68" s="2">
        <f t="shared" si="12"/>
        <v>476</v>
      </c>
      <c r="F68" s="2">
        <v>0</v>
      </c>
      <c r="G68" s="2">
        <v>-15</v>
      </c>
      <c r="H68" s="2">
        <f t="shared" si="0"/>
        <v>8</v>
      </c>
      <c r="I68" s="2">
        <v>2</v>
      </c>
      <c r="J68" s="2"/>
      <c r="M68" s="2">
        <v>65</v>
      </c>
      <c r="N68" s="2">
        <f t="shared" si="13"/>
        <v>476</v>
      </c>
      <c r="O68" s="2">
        <v>0</v>
      </c>
      <c r="P68" s="2">
        <v>15</v>
      </c>
      <c r="Q68" s="2">
        <f t="shared" si="1"/>
        <v>8</v>
      </c>
      <c r="R68" s="2">
        <v>2</v>
      </c>
      <c r="S68" s="2">
        <f>COUNTIF(R4:R68,4)</f>
        <v>2</v>
      </c>
    </row>
    <row r="69" spans="3:19" x14ac:dyDescent="0.3">
      <c r="C69" s="6"/>
      <c r="D69" s="2">
        <v>66</v>
      </c>
      <c r="E69" s="2">
        <f>E68+8</f>
        <v>484</v>
      </c>
      <c r="F69" s="2">
        <v>0</v>
      </c>
      <c r="G69" s="2">
        <v>-15</v>
      </c>
      <c r="H69" s="2">
        <f t="shared" ref="H69:H132" si="14">SQRT((E70-E69)^2+(F70-F69)^2+(G70-G69)^2)</f>
        <v>8</v>
      </c>
      <c r="I69" s="2">
        <v>3</v>
      </c>
      <c r="J69" s="2"/>
      <c r="M69" s="2">
        <v>66</v>
      </c>
      <c r="N69" s="2">
        <f>N68+8</f>
        <v>484</v>
      </c>
      <c r="O69" s="2">
        <v>0</v>
      </c>
      <c r="P69" s="2">
        <v>15</v>
      </c>
      <c r="Q69" s="2">
        <f t="shared" ref="Q69:Q132" si="15">SQRT((N70-N69)^2+(O70-O69)^2+(P70-P69)^2)</f>
        <v>8</v>
      </c>
      <c r="R69" s="2">
        <v>3</v>
      </c>
      <c r="S69" s="2"/>
    </row>
    <row r="70" spans="3:19" x14ac:dyDescent="0.3">
      <c r="C70" s="6"/>
      <c r="D70" s="2">
        <v>67</v>
      </c>
      <c r="E70" s="2">
        <f>E69+8</f>
        <v>492</v>
      </c>
      <c r="F70" s="2">
        <v>0</v>
      </c>
      <c r="G70" s="2">
        <v>-15</v>
      </c>
      <c r="H70" s="2">
        <f t="shared" si="14"/>
        <v>7.5</v>
      </c>
      <c r="I70" s="2">
        <v>2</v>
      </c>
      <c r="J70" s="2"/>
      <c r="M70" s="2">
        <v>67</v>
      </c>
      <c r="N70" s="2">
        <f>N69+8</f>
        <v>492</v>
      </c>
      <c r="O70" s="2">
        <v>0</v>
      </c>
      <c r="P70" s="2">
        <v>15</v>
      </c>
      <c r="Q70" s="2">
        <f t="shared" si="15"/>
        <v>7.5</v>
      </c>
      <c r="R70" s="2">
        <v>2</v>
      </c>
      <c r="S70" s="2"/>
    </row>
    <row r="71" spans="3:19" x14ac:dyDescent="0.3">
      <c r="C71" s="6"/>
      <c r="D71" s="2">
        <v>68</v>
      </c>
      <c r="E71" s="2">
        <f>E70+7.5</f>
        <v>499.5</v>
      </c>
      <c r="F71" s="2">
        <v>0</v>
      </c>
      <c r="G71" s="2">
        <v>-15</v>
      </c>
      <c r="H71" s="2">
        <f t="shared" si="14"/>
        <v>7.5</v>
      </c>
      <c r="I71" s="2">
        <v>5</v>
      </c>
      <c r="J71" s="2">
        <v>5</v>
      </c>
      <c r="M71" s="2">
        <v>68</v>
      </c>
      <c r="N71" s="2">
        <f>N70+7.5</f>
        <v>499.5</v>
      </c>
      <c r="O71" s="2">
        <v>0</v>
      </c>
      <c r="P71" s="2">
        <v>15</v>
      </c>
      <c r="Q71" s="2">
        <f t="shared" si="15"/>
        <v>7.5</v>
      </c>
      <c r="R71" s="2">
        <v>5</v>
      </c>
      <c r="S71" s="2"/>
    </row>
    <row r="72" spans="3:19" x14ac:dyDescent="0.3">
      <c r="C72" s="6"/>
      <c r="D72" s="2">
        <v>69</v>
      </c>
      <c r="E72" s="2">
        <f t="shared" ref="E72:E92" si="16">E71+7.5</f>
        <v>507</v>
      </c>
      <c r="F72" s="2">
        <v>0</v>
      </c>
      <c r="G72" s="2">
        <v>-15</v>
      </c>
      <c r="H72" s="2">
        <f t="shared" si="14"/>
        <v>7.5</v>
      </c>
      <c r="I72" s="2">
        <v>2</v>
      </c>
      <c r="J72" s="2"/>
      <c r="M72" s="2">
        <v>69</v>
      </c>
      <c r="N72" s="2">
        <f t="shared" ref="N72:N92" si="17">N71+7.5</f>
        <v>507</v>
      </c>
      <c r="O72" s="2">
        <v>0</v>
      </c>
      <c r="P72" s="2">
        <v>15</v>
      </c>
      <c r="Q72" s="2">
        <f t="shared" si="15"/>
        <v>7.5</v>
      </c>
      <c r="R72" s="2">
        <v>2</v>
      </c>
      <c r="S72" s="2"/>
    </row>
    <row r="73" spans="3:19" x14ac:dyDescent="0.3">
      <c r="C73" s="6"/>
      <c r="D73" s="2">
        <v>70</v>
      </c>
      <c r="E73" s="2">
        <f t="shared" si="16"/>
        <v>514.5</v>
      </c>
      <c r="F73" s="2">
        <v>0</v>
      </c>
      <c r="G73" s="2">
        <v>-15</v>
      </c>
      <c r="H73" s="2">
        <f t="shared" si="14"/>
        <v>7.5</v>
      </c>
      <c r="I73" s="2">
        <v>3</v>
      </c>
      <c r="J73" s="2"/>
      <c r="M73" s="2">
        <v>70</v>
      </c>
      <c r="N73" s="2">
        <f t="shared" si="17"/>
        <v>514.5</v>
      </c>
      <c r="O73" s="2">
        <v>0</v>
      </c>
      <c r="P73" s="2">
        <v>15</v>
      </c>
      <c r="Q73" s="2">
        <f t="shared" si="15"/>
        <v>7.5</v>
      </c>
      <c r="R73" s="2">
        <v>3</v>
      </c>
      <c r="S73" s="2"/>
    </row>
    <row r="74" spans="3:19" x14ac:dyDescent="0.3">
      <c r="C74" s="6"/>
      <c r="D74" s="2">
        <v>71</v>
      </c>
      <c r="E74" s="2">
        <f t="shared" si="16"/>
        <v>522</v>
      </c>
      <c r="F74" s="2">
        <v>0</v>
      </c>
      <c r="G74" s="2">
        <v>-15</v>
      </c>
      <c r="H74" s="2">
        <f t="shared" si="14"/>
        <v>7.5</v>
      </c>
      <c r="I74" s="2">
        <v>2</v>
      </c>
      <c r="J74" s="2"/>
      <c r="M74" s="2">
        <v>71</v>
      </c>
      <c r="N74" s="2">
        <f t="shared" si="17"/>
        <v>522</v>
      </c>
      <c r="O74" s="2">
        <v>0</v>
      </c>
      <c r="P74" s="2">
        <v>15</v>
      </c>
      <c r="Q74" s="2">
        <f t="shared" si="15"/>
        <v>7.5</v>
      </c>
      <c r="R74" s="2">
        <v>2</v>
      </c>
      <c r="S74" s="2"/>
    </row>
    <row r="75" spans="3:19" x14ac:dyDescent="0.3">
      <c r="C75" s="6"/>
      <c r="D75" s="2">
        <v>72</v>
      </c>
      <c r="E75" s="2">
        <f t="shared" si="16"/>
        <v>529.5</v>
      </c>
      <c r="F75" s="2">
        <v>0</v>
      </c>
      <c r="G75" s="2">
        <v>-15</v>
      </c>
      <c r="H75" s="2">
        <f t="shared" si="14"/>
        <v>7.5</v>
      </c>
      <c r="I75" s="2">
        <v>5</v>
      </c>
      <c r="J75" s="2">
        <v>5</v>
      </c>
      <c r="M75" s="2">
        <v>72</v>
      </c>
      <c r="N75" s="2">
        <f t="shared" si="17"/>
        <v>529.5</v>
      </c>
      <c r="O75" s="2">
        <v>0</v>
      </c>
      <c r="P75" s="2">
        <v>15</v>
      </c>
      <c r="Q75" s="2">
        <f t="shared" si="15"/>
        <v>7.5</v>
      </c>
      <c r="R75" s="2">
        <v>5</v>
      </c>
      <c r="S75" s="2"/>
    </row>
    <row r="76" spans="3:19" x14ac:dyDescent="0.3">
      <c r="C76" s="6"/>
      <c r="D76" s="2">
        <v>73</v>
      </c>
      <c r="E76" s="2">
        <f t="shared" si="16"/>
        <v>537</v>
      </c>
      <c r="F76" s="2">
        <v>0</v>
      </c>
      <c r="G76" s="2">
        <v>-15</v>
      </c>
      <c r="H76" s="2">
        <f t="shared" si="14"/>
        <v>7.5</v>
      </c>
      <c r="I76" s="2">
        <v>2</v>
      </c>
      <c r="J76" s="2"/>
      <c r="M76" s="2">
        <v>73</v>
      </c>
      <c r="N76" s="2">
        <f t="shared" si="17"/>
        <v>537</v>
      </c>
      <c r="O76" s="2">
        <v>0</v>
      </c>
      <c r="P76" s="2">
        <v>15</v>
      </c>
      <c r="Q76" s="2">
        <f t="shared" si="15"/>
        <v>7.5</v>
      </c>
      <c r="R76" s="2">
        <v>2</v>
      </c>
      <c r="S76" s="2"/>
    </row>
    <row r="77" spans="3:19" x14ac:dyDescent="0.3">
      <c r="C77" s="6"/>
      <c r="D77" s="2">
        <v>74</v>
      </c>
      <c r="E77" s="2">
        <f t="shared" si="16"/>
        <v>544.5</v>
      </c>
      <c r="F77" s="2">
        <v>0</v>
      </c>
      <c r="G77" s="2">
        <v>-15</v>
      </c>
      <c r="H77" s="2">
        <f t="shared" si="14"/>
        <v>7.5</v>
      </c>
      <c r="I77" s="2">
        <v>3</v>
      </c>
      <c r="J77" s="2"/>
      <c r="M77" s="2">
        <v>74</v>
      </c>
      <c r="N77" s="2">
        <f t="shared" si="17"/>
        <v>544.5</v>
      </c>
      <c r="O77" s="2">
        <v>0</v>
      </c>
      <c r="P77" s="2">
        <v>15</v>
      </c>
      <c r="Q77" s="2">
        <f t="shared" si="15"/>
        <v>7.5</v>
      </c>
      <c r="R77" s="2">
        <v>3</v>
      </c>
      <c r="S77" s="2"/>
    </row>
    <row r="78" spans="3:19" x14ac:dyDescent="0.3">
      <c r="C78" s="6"/>
      <c r="D78" s="2">
        <v>75</v>
      </c>
      <c r="E78" s="2">
        <f t="shared" si="16"/>
        <v>552</v>
      </c>
      <c r="F78" s="2">
        <v>0</v>
      </c>
      <c r="G78" s="2">
        <v>-15</v>
      </c>
      <c r="H78" s="2">
        <f t="shared" si="14"/>
        <v>7.5</v>
      </c>
      <c r="I78" s="2">
        <v>2</v>
      </c>
      <c r="J78" s="2"/>
      <c r="M78" s="2">
        <v>75</v>
      </c>
      <c r="N78" s="2">
        <f t="shared" si="17"/>
        <v>552</v>
      </c>
      <c r="O78" s="2">
        <v>0</v>
      </c>
      <c r="P78" s="2">
        <v>15</v>
      </c>
      <c r="Q78" s="2">
        <f t="shared" si="15"/>
        <v>7.5</v>
      </c>
      <c r="R78" s="2">
        <v>2</v>
      </c>
      <c r="S78" s="2"/>
    </row>
    <row r="79" spans="3:19" x14ac:dyDescent="0.3">
      <c r="C79" s="6"/>
      <c r="D79" s="2">
        <v>76</v>
      </c>
      <c r="E79" s="2">
        <f t="shared" si="16"/>
        <v>559.5</v>
      </c>
      <c r="F79" s="2">
        <v>0</v>
      </c>
      <c r="G79" s="2">
        <v>-15</v>
      </c>
      <c r="H79" s="2">
        <f t="shared" si="14"/>
        <v>7.5</v>
      </c>
      <c r="I79" s="2">
        <v>5</v>
      </c>
      <c r="J79" s="2">
        <v>5</v>
      </c>
      <c r="M79" s="2">
        <v>76</v>
      </c>
      <c r="N79" s="2">
        <f t="shared" si="17"/>
        <v>559.5</v>
      </c>
      <c r="O79" s="2">
        <v>0</v>
      </c>
      <c r="P79" s="2">
        <v>15</v>
      </c>
      <c r="Q79" s="2">
        <f t="shared" si="15"/>
        <v>7.5</v>
      </c>
      <c r="R79" s="2">
        <v>5</v>
      </c>
      <c r="S79" s="2"/>
    </row>
    <row r="80" spans="3:19" x14ac:dyDescent="0.3">
      <c r="C80" s="6"/>
      <c r="D80" s="2">
        <v>77</v>
      </c>
      <c r="E80" s="2">
        <f t="shared" si="16"/>
        <v>567</v>
      </c>
      <c r="F80" s="2">
        <v>0</v>
      </c>
      <c r="G80" s="2">
        <v>-15</v>
      </c>
      <c r="H80" s="2">
        <f t="shared" si="14"/>
        <v>7.5</v>
      </c>
      <c r="I80" s="2">
        <v>2</v>
      </c>
      <c r="J80" s="2"/>
      <c r="M80" s="2">
        <v>77</v>
      </c>
      <c r="N80" s="2">
        <f t="shared" si="17"/>
        <v>567</v>
      </c>
      <c r="O80" s="2">
        <v>0</v>
      </c>
      <c r="P80" s="2">
        <v>15</v>
      </c>
      <c r="Q80" s="2">
        <f t="shared" si="15"/>
        <v>7.5</v>
      </c>
      <c r="R80" s="2">
        <v>2</v>
      </c>
      <c r="S80" s="2"/>
    </row>
    <row r="81" spans="3:19" x14ac:dyDescent="0.3">
      <c r="C81" s="6"/>
      <c r="D81" s="2">
        <v>78</v>
      </c>
      <c r="E81" s="2">
        <f t="shared" si="16"/>
        <v>574.5</v>
      </c>
      <c r="F81" s="2">
        <v>0</v>
      </c>
      <c r="G81" s="2">
        <v>-15</v>
      </c>
      <c r="H81" s="2">
        <f t="shared" si="14"/>
        <v>7.5</v>
      </c>
      <c r="I81" s="2">
        <v>3</v>
      </c>
      <c r="J81" s="2"/>
      <c r="M81" s="2">
        <v>78</v>
      </c>
      <c r="N81" s="2">
        <f t="shared" si="17"/>
        <v>574.5</v>
      </c>
      <c r="O81" s="2">
        <v>0</v>
      </c>
      <c r="P81" s="2">
        <v>15</v>
      </c>
      <c r="Q81" s="2">
        <f t="shared" si="15"/>
        <v>7.5</v>
      </c>
      <c r="R81" s="2">
        <v>3</v>
      </c>
      <c r="S81" s="2"/>
    </row>
    <row r="82" spans="3:19" x14ac:dyDescent="0.3">
      <c r="C82" s="6"/>
      <c r="D82" s="2">
        <v>79</v>
      </c>
      <c r="E82" s="2">
        <f t="shared" si="16"/>
        <v>582</v>
      </c>
      <c r="F82" s="2">
        <v>0</v>
      </c>
      <c r="G82" s="2">
        <v>-15</v>
      </c>
      <c r="H82" s="2">
        <f t="shared" si="14"/>
        <v>7.5</v>
      </c>
      <c r="I82" s="2">
        <v>2</v>
      </c>
      <c r="J82" s="2"/>
      <c r="M82" s="2">
        <v>79</v>
      </c>
      <c r="N82" s="2">
        <f t="shared" si="17"/>
        <v>582</v>
      </c>
      <c r="O82" s="2">
        <v>0</v>
      </c>
      <c r="P82" s="2">
        <v>15</v>
      </c>
      <c r="Q82" s="2">
        <f t="shared" si="15"/>
        <v>7.5</v>
      </c>
      <c r="R82" s="2">
        <v>2</v>
      </c>
      <c r="S82" s="2"/>
    </row>
    <row r="83" spans="3:19" x14ac:dyDescent="0.3">
      <c r="C83" s="6"/>
      <c r="D83" s="2">
        <v>80</v>
      </c>
      <c r="E83" s="2">
        <f t="shared" si="16"/>
        <v>589.5</v>
      </c>
      <c r="F83" s="2">
        <v>0</v>
      </c>
      <c r="G83" s="2">
        <v>-15</v>
      </c>
      <c r="H83" s="2">
        <f t="shared" si="14"/>
        <v>7.5</v>
      </c>
      <c r="I83" s="2">
        <v>5</v>
      </c>
      <c r="J83" s="2">
        <v>5</v>
      </c>
      <c r="M83" s="2">
        <v>80</v>
      </c>
      <c r="N83" s="2">
        <f t="shared" si="17"/>
        <v>589.5</v>
      </c>
      <c r="O83" s="2">
        <v>0</v>
      </c>
      <c r="P83" s="2">
        <v>15</v>
      </c>
      <c r="Q83" s="2">
        <f t="shared" si="15"/>
        <v>7.5</v>
      </c>
      <c r="R83" s="2">
        <v>5</v>
      </c>
      <c r="S83" s="2"/>
    </row>
    <row r="84" spans="3:19" x14ac:dyDescent="0.3">
      <c r="C84" s="6"/>
      <c r="D84" s="2">
        <v>81</v>
      </c>
      <c r="E84" s="2">
        <f t="shared" si="16"/>
        <v>597</v>
      </c>
      <c r="F84" s="2">
        <v>0</v>
      </c>
      <c r="G84" s="2">
        <v>-15</v>
      </c>
      <c r="H84" s="2">
        <f t="shared" si="14"/>
        <v>7.5</v>
      </c>
      <c r="I84" s="2">
        <v>2</v>
      </c>
      <c r="J84" s="2"/>
      <c r="M84" s="2">
        <v>81</v>
      </c>
      <c r="N84" s="2">
        <f t="shared" si="17"/>
        <v>597</v>
      </c>
      <c r="O84" s="2">
        <v>0</v>
      </c>
      <c r="P84" s="2">
        <v>15</v>
      </c>
      <c r="Q84" s="2">
        <f t="shared" si="15"/>
        <v>7.5</v>
      </c>
      <c r="R84" s="2">
        <v>2</v>
      </c>
      <c r="S84" s="2"/>
    </row>
    <row r="85" spans="3:19" x14ac:dyDescent="0.3">
      <c r="C85" s="6"/>
      <c r="D85" s="2">
        <v>82</v>
      </c>
      <c r="E85" s="2">
        <f t="shared" si="16"/>
        <v>604.5</v>
      </c>
      <c r="F85" s="2">
        <v>0</v>
      </c>
      <c r="G85" s="2">
        <v>-15</v>
      </c>
      <c r="H85" s="2">
        <f t="shared" si="14"/>
        <v>7.5</v>
      </c>
      <c r="I85" s="2">
        <v>3</v>
      </c>
      <c r="J85" s="2"/>
      <c r="M85" s="2">
        <v>82</v>
      </c>
      <c r="N85" s="2">
        <f t="shared" si="17"/>
        <v>604.5</v>
      </c>
      <c r="O85" s="2">
        <v>0</v>
      </c>
      <c r="P85" s="2">
        <v>15</v>
      </c>
      <c r="Q85" s="2">
        <f t="shared" si="15"/>
        <v>7.5</v>
      </c>
      <c r="R85" s="2">
        <v>3</v>
      </c>
      <c r="S85" s="2"/>
    </row>
    <row r="86" spans="3:19" x14ac:dyDescent="0.3">
      <c r="C86" s="6"/>
      <c r="D86" s="2">
        <v>83</v>
      </c>
      <c r="E86" s="2">
        <f t="shared" si="16"/>
        <v>612</v>
      </c>
      <c r="F86" s="2">
        <v>0</v>
      </c>
      <c r="G86" s="2">
        <v>-15</v>
      </c>
      <c r="H86" s="2">
        <f t="shared" si="14"/>
        <v>7.5</v>
      </c>
      <c r="I86" s="2">
        <v>2</v>
      </c>
      <c r="J86" s="2"/>
      <c r="M86" s="2">
        <v>83</v>
      </c>
      <c r="N86" s="2">
        <f t="shared" si="17"/>
        <v>612</v>
      </c>
      <c r="O86" s="2">
        <v>0</v>
      </c>
      <c r="P86" s="2">
        <v>15</v>
      </c>
      <c r="Q86" s="2">
        <f t="shared" si="15"/>
        <v>7.5</v>
      </c>
      <c r="R86" s="2">
        <v>2</v>
      </c>
      <c r="S86" s="2"/>
    </row>
    <row r="87" spans="3:19" x14ac:dyDescent="0.3">
      <c r="C87" s="6"/>
      <c r="D87" s="2">
        <v>84</v>
      </c>
      <c r="E87" s="2">
        <f t="shared" si="16"/>
        <v>619.5</v>
      </c>
      <c r="F87" s="2">
        <v>0</v>
      </c>
      <c r="G87" s="2">
        <v>-15</v>
      </c>
      <c r="H87" s="2">
        <f t="shared" si="14"/>
        <v>7.5</v>
      </c>
      <c r="I87" s="2">
        <v>5</v>
      </c>
      <c r="J87" s="2">
        <v>5</v>
      </c>
      <c r="M87" s="2">
        <v>84</v>
      </c>
      <c r="N87" s="2">
        <f t="shared" si="17"/>
        <v>619.5</v>
      </c>
      <c r="O87" s="2">
        <v>0</v>
      </c>
      <c r="P87" s="2">
        <v>15</v>
      </c>
      <c r="Q87" s="2">
        <f t="shared" si="15"/>
        <v>7.5</v>
      </c>
      <c r="R87" s="2">
        <v>5</v>
      </c>
      <c r="S87" s="2"/>
    </row>
    <row r="88" spans="3:19" x14ac:dyDescent="0.3">
      <c r="C88" s="6"/>
      <c r="D88" s="2">
        <v>85</v>
      </c>
      <c r="E88" s="2">
        <f t="shared" si="16"/>
        <v>627</v>
      </c>
      <c r="F88" s="2">
        <v>0</v>
      </c>
      <c r="G88" s="2">
        <v>-15</v>
      </c>
      <c r="H88" s="2">
        <f t="shared" si="14"/>
        <v>7.5</v>
      </c>
      <c r="I88" s="2">
        <v>2</v>
      </c>
      <c r="J88" s="2"/>
      <c r="M88" s="2">
        <v>85</v>
      </c>
      <c r="N88" s="2">
        <f t="shared" si="17"/>
        <v>627</v>
      </c>
      <c r="O88" s="2">
        <v>0</v>
      </c>
      <c r="P88" s="2">
        <v>15</v>
      </c>
      <c r="Q88" s="2">
        <f t="shared" si="15"/>
        <v>7.5</v>
      </c>
      <c r="R88" s="2">
        <v>2</v>
      </c>
      <c r="S88" s="2"/>
    </row>
    <row r="89" spans="3:19" x14ac:dyDescent="0.3">
      <c r="C89" s="6"/>
      <c r="D89" s="2">
        <v>86</v>
      </c>
      <c r="E89" s="2">
        <f t="shared" si="16"/>
        <v>634.5</v>
      </c>
      <c r="F89" s="2">
        <v>0</v>
      </c>
      <c r="G89" s="2">
        <v>-15</v>
      </c>
      <c r="H89" s="2">
        <f t="shared" si="14"/>
        <v>7.5</v>
      </c>
      <c r="I89" s="2">
        <v>3</v>
      </c>
      <c r="J89" s="2"/>
      <c r="M89" s="2">
        <v>86</v>
      </c>
      <c r="N89" s="2">
        <f t="shared" si="17"/>
        <v>634.5</v>
      </c>
      <c r="O89" s="2">
        <v>0</v>
      </c>
      <c r="P89" s="2">
        <v>15</v>
      </c>
      <c r="Q89" s="2">
        <f t="shared" si="15"/>
        <v>7.5</v>
      </c>
      <c r="R89" s="2">
        <v>3</v>
      </c>
      <c r="S89" s="2"/>
    </row>
    <row r="90" spans="3:19" x14ac:dyDescent="0.3">
      <c r="C90" s="6"/>
      <c r="D90" s="2">
        <v>87</v>
      </c>
      <c r="E90" s="2">
        <f t="shared" si="16"/>
        <v>642</v>
      </c>
      <c r="F90" s="2">
        <v>0</v>
      </c>
      <c r="G90" s="2">
        <v>-15</v>
      </c>
      <c r="H90" s="2">
        <f t="shared" si="14"/>
        <v>7.5</v>
      </c>
      <c r="I90" s="2">
        <v>2</v>
      </c>
      <c r="J90" s="2"/>
      <c r="M90" s="2">
        <v>87</v>
      </c>
      <c r="N90" s="2">
        <f t="shared" si="17"/>
        <v>642</v>
      </c>
      <c r="O90" s="2">
        <v>0</v>
      </c>
      <c r="P90" s="2">
        <v>15</v>
      </c>
      <c r="Q90" s="2">
        <f t="shared" si="15"/>
        <v>7.5</v>
      </c>
      <c r="R90" s="2">
        <v>2</v>
      </c>
      <c r="S90" s="2"/>
    </row>
    <row r="91" spans="3:19" x14ac:dyDescent="0.3">
      <c r="C91" s="6"/>
      <c r="D91" s="2">
        <v>88</v>
      </c>
      <c r="E91" s="2">
        <f t="shared" si="16"/>
        <v>649.5</v>
      </c>
      <c r="F91" s="2">
        <v>0</v>
      </c>
      <c r="G91" s="2">
        <v>-15</v>
      </c>
      <c r="H91" s="2">
        <f t="shared" si="14"/>
        <v>7.5</v>
      </c>
      <c r="I91" s="2">
        <v>5</v>
      </c>
      <c r="J91" s="2">
        <v>5</v>
      </c>
      <c r="M91" s="2">
        <v>88</v>
      </c>
      <c r="N91" s="2">
        <f t="shared" si="17"/>
        <v>649.5</v>
      </c>
      <c r="O91" s="2">
        <v>0</v>
      </c>
      <c r="P91" s="2">
        <v>15</v>
      </c>
      <c r="Q91" s="2">
        <f t="shared" si="15"/>
        <v>7.5</v>
      </c>
      <c r="R91" s="2">
        <v>5</v>
      </c>
      <c r="S91" s="2"/>
    </row>
    <row r="92" spans="3:19" x14ac:dyDescent="0.3">
      <c r="C92" s="6"/>
      <c r="D92" s="2">
        <v>89</v>
      </c>
      <c r="E92" s="2">
        <f t="shared" si="16"/>
        <v>657</v>
      </c>
      <c r="F92" s="2">
        <v>0</v>
      </c>
      <c r="G92" s="2">
        <v>-15</v>
      </c>
      <c r="H92" s="2">
        <f t="shared" si="14"/>
        <v>6</v>
      </c>
      <c r="I92" s="2">
        <v>2</v>
      </c>
      <c r="J92" s="2"/>
      <c r="M92" s="2">
        <v>89</v>
      </c>
      <c r="N92" s="2">
        <f t="shared" si="17"/>
        <v>657</v>
      </c>
      <c r="O92" s="2">
        <v>0</v>
      </c>
      <c r="P92" s="2">
        <v>15</v>
      </c>
      <c r="Q92" s="2">
        <f t="shared" si="15"/>
        <v>6</v>
      </c>
      <c r="R92" s="2">
        <v>2</v>
      </c>
      <c r="S92" s="2"/>
    </row>
    <row r="93" spans="3:19" x14ac:dyDescent="0.3">
      <c r="D93" s="2">
        <v>90</v>
      </c>
      <c r="E93" s="2">
        <f>E92+6</f>
        <v>663</v>
      </c>
      <c r="F93" s="2">
        <v>0</v>
      </c>
      <c r="G93" s="2">
        <v>-15</v>
      </c>
      <c r="H93" s="2">
        <f t="shared" si="14"/>
        <v>6</v>
      </c>
      <c r="I93" s="2">
        <v>3</v>
      </c>
      <c r="J93" s="2"/>
      <c r="M93" s="2">
        <v>90</v>
      </c>
      <c r="N93" s="2">
        <f>N92+6</f>
        <v>663</v>
      </c>
      <c r="O93" s="2">
        <v>0</v>
      </c>
      <c r="P93" s="2">
        <v>15</v>
      </c>
      <c r="Q93" s="2">
        <f t="shared" si="15"/>
        <v>6</v>
      </c>
      <c r="R93" s="2">
        <v>3</v>
      </c>
      <c r="S93" s="2"/>
    </row>
    <row r="94" spans="3:19" x14ac:dyDescent="0.3">
      <c r="D94" s="2">
        <v>91</v>
      </c>
      <c r="E94" s="2">
        <f t="shared" ref="E94:E95" si="18">E93+6</f>
        <v>669</v>
      </c>
      <c r="F94" s="2">
        <v>0</v>
      </c>
      <c r="G94" s="2">
        <v>-15</v>
      </c>
      <c r="H94" s="2">
        <f t="shared" si="14"/>
        <v>6</v>
      </c>
      <c r="I94" s="2">
        <v>3</v>
      </c>
      <c r="J94" s="2"/>
      <c r="M94" s="2">
        <v>91</v>
      </c>
      <c r="N94" s="2">
        <f t="shared" ref="N94:N95" si="19">N93+6</f>
        <v>669</v>
      </c>
      <c r="O94" s="2">
        <v>0</v>
      </c>
      <c r="P94" s="2">
        <v>15</v>
      </c>
      <c r="Q94" s="2">
        <f t="shared" si="15"/>
        <v>6</v>
      </c>
      <c r="R94" s="2">
        <v>3</v>
      </c>
      <c r="S94" s="2"/>
    </row>
    <row r="95" spans="3:19" x14ac:dyDescent="0.3">
      <c r="D95" s="2">
        <v>92</v>
      </c>
      <c r="E95" s="2">
        <f t="shared" si="18"/>
        <v>675</v>
      </c>
      <c r="F95" s="2">
        <v>0</v>
      </c>
      <c r="G95" s="2">
        <v>-15</v>
      </c>
      <c r="H95" s="2">
        <f t="shared" si="14"/>
        <v>7</v>
      </c>
      <c r="I95" s="2">
        <v>4</v>
      </c>
      <c r="J95" s="2">
        <v>5</v>
      </c>
      <c r="M95" s="2">
        <v>92</v>
      </c>
      <c r="N95" s="2">
        <f t="shared" si="19"/>
        <v>675</v>
      </c>
      <c r="O95" s="2">
        <v>0</v>
      </c>
      <c r="P95" s="2">
        <v>15</v>
      </c>
      <c r="Q95" s="2">
        <f t="shared" si="15"/>
        <v>7</v>
      </c>
      <c r="R95" s="2">
        <v>4</v>
      </c>
      <c r="S95" s="2"/>
    </row>
    <row r="96" spans="3:19" x14ac:dyDescent="0.3">
      <c r="D96" s="2">
        <v>93</v>
      </c>
      <c r="E96" s="2">
        <f>E95+7</f>
        <v>682</v>
      </c>
      <c r="F96" s="2">
        <v>0</v>
      </c>
      <c r="G96" s="2">
        <v>-15</v>
      </c>
      <c r="H96" s="2">
        <f t="shared" si="14"/>
        <v>8</v>
      </c>
      <c r="I96" s="2">
        <v>3</v>
      </c>
      <c r="J96" s="2"/>
      <c r="M96" s="2">
        <v>93</v>
      </c>
      <c r="N96" s="2">
        <f>N95+7</f>
        <v>682</v>
      </c>
      <c r="O96" s="2">
        <v>0</v>
      </c>
      <c r="P96" s="2">
        <v>15</v>
      </c>
      <c r="Q96" s="2">
        <f t="shared" si="15"/>
        <v>8</v>
      </c>
      <c r="R96" s="2">
        <v>3</v>
      </c>
      <c r="S96" s="2"/>
    </row>
    <row r="97" spans="4:19" x14ac:dyDescent="0.3">
      <c r="D97" s="2">
        <v>94</v>
      </c>
      <c r="E97" s="2">
        <f>E96+8</f>
        <v>690</v>
      </c>
      <c r="F97" s="2">
        <v>0</v>
      </c>
      <c r="G97" s="2">
        <v>-15</v>
      </c>
      <c r="H97" s="2">
        <f t="shared" si="14"/>
        <v>8</v>
      </c>
      <c r="I97" s="2">
        <v>3</v>
      </c>
      <c r="J97" s="2"/>
      <c r="M97" s="2">
        <v>94</v>
      </c>
      <c r="N97" s="2">
        <f>N96+8</f>
        <v>690</v>
      </c>
      <c r="O97" s="2">
        <v>0</v>
      </c>
      <c r="P97" s="2">
        <v>15</v>
      </c>
      <c r="Q97" s="2">
        <f t="shared" si="15"/>
        <v>8</v>
      </c>
      <c r="R97" s="2">
        <v>3</v>
      </c>
      <c r="S97" s="2"/>
    </row>
    <row r="98" spans="4:19" x14ac:dyDescent="0.3">
      <c r="D98" s="2">
        <v>95</v>
      </c>
      <c r="E98" s="2">
        <f t="shared" ref="E98:E100" si="20">E97+8</f>
        <v>698</v>
      </c>
      <c r="F98" s="2">
        <v>0</v>
      </c>
      <c r="G98" s="2">
        <v>-15</v>
      </c>
      <c r="H98" s="2">
        <f t="shared" si="14"/>
        <v>8</v>
      </c>
      <c r="I98" s="2">
        <v>3</v>
      </c>
      <c r="J98" s="2"/>
      <c r="M98" s="2">
        <v>95</v>
      </c>
      <c r="N98" s="2">
        <f t="shared" ref="N98:N100" si="21">N97+8</f>
        <v>698</v>
      </c>
      <c r="O98" s="2">
        <v>0</v>
      </c>
      <c r="P98" s="2">
        <v>15</v>
      </c>
      <c r="Q98" s="2">
        <f t="shared" si="15"/>
        <v>8</v>
      </c>
      <c r="R98" s="2">
        <v>3</v>
      </c>
      <c r="S98" s="2"/>
    </row>
    <row r="99" spans="4:19" x14ac:dyDescent="0.3">
      <c r="D99" s="2">
        <v>96</v>
      </c>
      <c r="E99" s="2">
        <f t="shared" si="20"/>
        <v>706</v>
      </c>
      <c r="F99" s="2">
        <v>0</v>
      </c>
      <c r="G99" s="2">
        <v>-15</v>
      </c>
      <c r="H99" s="2">
        <f t="shared" si="14"/>
        <v>8</v>
      </c>
      <c r="I99" s="2">
        <v>5</v>
      </c>
      <c r="J99" s="2">
        <v>5</v>
      </c>
      <c r="M99" s="2">
        <v>96</v>
      </c>
      <c r="N99" s="2">
        <f t="shared" si="21"/>
        <v>706</v>
      </c>
      <c r="O99" s="2">
        <v>0</v>
      </c>
      <c r="P99" s="2">
        <v>15</v>
      </c>
      <c r="Q99" s="2">
        <f t="shared" si="15"/>
        <v>8</v>
      </c>
      <c r="R99" s="2">
        <v>5</v>
      </c>
      <c r="S99" s="2"/>
    </row>
    <row r="100" spans="4:19" x14ac:dyDescent="0.3">
      <c r="D100" s="2">
        <v>97</v>
      </c>
      <c r="E100" s="2">
        <f t="shared" si="20"/>
        <v>714</v>
      </c>
      <c r="F100" s="2">
        <v>0</v>
      </c>
      <c r="G100" s="2">
        <v>-15</v>
      </c>
      <c r="H100" s="2">
        <f t="shared" si="14"/>
        <v>7</v>
      </c>
      <c r="I100" s="2">
        <v>3</v>
      </c>
      <c r="J100" s="2"/>
      <c r="M100" s="2">
        <v>97</v>
      </c>
      <c r="N100" s="2">
        <f t="shared" si="21"/>
        <v>714</v>
      </c>
      <c r="O100" s="2">
        <v>0</v>
      </c>
      <c r="P100" s="2">
        <v>15</v>
      </c>
      <c r="Q100" s="2">
        <f t="shared" si="15"/>
        <v>7</v>
      </c>
      <c r="R100" s="2">
        <v>3</v>
      </c>
      <c r="S100" s="2"/>
    </row>
    <row r="101" spans="4:19" x14ac:dyDescent="0.3">
      <c r="D101" s="2">
        <v>98</v>
      </c>
      <c r="E101" s="2">
        <f>E100+7</f>
        <v>721</v>
      </c>
      <c r="F101" s="2">
        <v>0</v>
      </c>
      <c r="G101" s="2">
        <v>-15</v>
      </c>
      <c r="H101" s="2">
        <f t="shared" si="14"/>
        <v>6</v>
      </c>
      <c r="I101" s="2">
        <v>4</v>
      </c>
      <c r="J101" s="2"/>
      <c r="M101" s="2">
        <v>98</v>
      </c>
      <c r="N101" s="2">
        <f>N100+7</f>
        <v>721</v>
      </c>
      <c r="O101" s="2">
        <v>0</v>
      </c>
      <c r="P101" s="2">
        <v>15</v>
      </c>
      <c r="Q101" s="2">
        <f t="shared" si="15"/>
        <v>6</v>
      </c>
      <c r="R101" s="2">
        <v>4</v>
      </c>
      <c r="S101" s="2"/>
    </row>
    <row r="102" spans="4:19" x14ac:dyDescent="0.3">
      <c r="D102" s="2">
        <v>99</v>
      </c>
      <c r="E102" s="2">
        <f>E101+6</f>
        <v>727</v>
      </c>
      <c r="F102" s="2">
        <v>0</v>
      </c>
      <c r="G102" s="2">
        <v>-15</v>
      </c>
      <c r="H102" s="2">
        <f t="shared" si="14"/>
        <v>6</v>
      </c>
      <c r="I102" s="2">
        <v>3</v>
      </c>
      <c r="J102" s="2"/>
      <c r="M102" s="2">
        <v>99</v>
      </c>
      <c r="N102" s="2">
        <f>N101+6</f>
        <v>727</v>
      </c>
      <c r="O102" s="2">
        <v>0</v>
      </c>
      <c r="P102" s="2">
        <v>15</v>
      </c>
      <c r="Q102" s="2">
        <f t="shared" si="15"/>
        <v>6</v>
      </c>
      <c r="R102" s="2">
        <v>3</v>
      </c>
      <c r="S102" s="2"/>
    </row>
    <row r="103" spans="4:19" x14ac:dyDescent="0.3">
      <c r="D103" s="2">
        <v>100</v>
      </c>
      <c r="E103" s="2">
        <f t="shared" ref="E103:E104" si="22">E102+6</f>
        <v>733</v>
      </c>
      <c r="F103" s="2">
        <v>0</v>
      </c>
      <c r="G103" s="2">
        <v>-15</v>
      </c>
      <c r="H103" s="2">
        <f t="shared" si="14"/>
        <v>6</v>
      </c>
      <c r="I103" s="2">
        <v>5</v>
      </c>
      <c r="J103" s="2">
        <v>5</v>
      </c>
      <c r="M103" s="2">
        <v>100</v>
      </c>
      <c r="N103" s="2">
        <f t="shared" ref="N103:N104" si="23">N102+6</f>
        <v>733</v>
      </c>
      <c r="O103" s="2">
        <v>0</v>
      </c>
      <c r="P103" s="2">
        <v>15</v>
      </c>
      <c r="Q103" s="2">
        <f t="shared" si="15"/>
        <v>6</v>
      </c>
      <c r="R103" s="2">
        <v>5</v>
      </c>
      <c r="S103" s="2"/>
    </row>
    <row r="104" spans="4:19" x14ac:dyDescent="0.3">
      <c r="D104" s="2">
        <v>101</v>
      </c>
      <c r="E104" s="2">
        <f t="shared" si="22"/>
        <v>739</v>
      </c>
      <c r="F104" s="2">
        <v>0</v>
      </c>
      <c r="G104" s="2">
        <v>-15</v>
      </c>
      <c r="H104" s="2">
        <f t="shared" si="14"/>
        <v>7.5</v>
      </c>
      <c r="I104" s="2">
        <v>2</v>
      </c>
      <c r="J104" s="2"/>
      <c r="M104" s="2">
        <v>101</v>
      </c>
      <c r="N104" s="2">
        <f t="shared" si="23"/>
        <v>739</v>
      </c>
      <c r="O104" s="2">
        <v>0</v>
      </c>
      <c r="P104" s="2">
        <v>15</v>
      </c>
      <c r="Q104" s="2">
        <f t="shared" si="15"/>
        <v>7.5</v>
      </c>
      <c r="R104" s="2">
        <v>2</v>
      </c>
      <c r="S104" s="2"/>
    </row>
    <row r="105" spans="4:19" x14ac:dyDescent="0.3">
      <c r="D105" s="2">
        <v>102</v>
      </c>
      <c r="E105" s="2">
        <f>E104+7.5</f>
        <v>746.5</v>
      </c>
      <c r="F105" s="2">
        <v>0</v>
      </c>
      <c r="G105" s="2">
        <v>-15</v>
      </c>
      <c r="H105" s="2">
        <f t="shared" si="14"/>
        <v>7.5</v>
      </c>
      <c r="I105" s="2">
        <v>3</v>
      </c>
      <c r="J105" s="2"/>
      <c r="M105" s="2">
        <v>102</v>
      </c>
      <c r="N105" s="2">
        <f>N104+7.5</f>
        <v>746.5</v>
      </c>
      <c r="O105" s="2">
        <v>0</v>
      </c>
      <c r="P105" s="2">
        <v>15</v>
      </c>
      <c r="Q105" s="2">
        <f t="shared" si="15"/>
        <v>7.5</v>
      </c>
      <c r="R105" s="2">
        <v>3</v>
      </c>
      <c r="S105" s="2"/>
    </row>
    <row r="106" spans="4:19" x14ac:dyDescent="0.3">
      <c r="D106" s="2">
        <v>103</v>
      </c>
      <c r="E106" s="2">
        <f t="shared" si="12"/>
        <v>754</v>
      </c>
      <c r="F106" s="2">
        <v>0</v>
      </c>
      <c r="G106" s="2">
        <v>-15</v>
      </c>
      <c r="H106" s="2">
        <f t="shared" si="14"/>
        <v>7.5</v>
      </c>
      <c r="I106" s="2">
        <v>2</v>
      </c>
      <c r="J106" s="2"/>
      <c r="M106" s="2">
        <v>103</v>
      </c>
      <c r="N106" s="2">
        <f t="shared" si="13"/>
        <v>754</v>
      </c>
      <c r="O106" s="2">
        <v>0</v>
      </c>
      <c r="P106" s="2">
        <v>15</v>
      </c>
      <c r="Q106" s="2">
        <f t="shared" si="15"/>
        <v>7.5</v>
      </c>
      <c r="R106" s="2">
        <v>2</v>
      </c>
      <c r="S106" s="2"/>
    </row>
    <row r="107" spans="4:19" x14ac:dyDescent="0.3">
      <c r="D107" s="2">
        <v>104</v>
      </c>
      <c r="E107" s="2">
        <f t="shared" si="12"/>
        <v>761.5</v>
      </c>
      <c r="F107" s="2">
        <v>0</v>
      </c>
      <c r="G107" s="2">
        <v>-15</v>
      </c>
      <c r="H107" s="2">
        <f t="shared" si="14"/>
        <v>7.5</v>
      </c>
      <c r="I107" s="2">
        <v>5</v>
      </c>
      <c r="J107" s="2">
        <v>5</v>
      </c>
      <c r="M107" s="2">
        <v>104</v>
      </c>
      <c r="N107" s="2">
        <f t="shared" si="13"/>
        <v>761.5</v>
      </c>
      <c r="O107" s="2">
        <v>0</v>
      </c>
      <c r="P107" s="2">
        <v>15</v>
      </c>
      <c r="Q107" s="2">
        <f t="shared" si="15"/>
        <v>7.5</v>
      </c>
      <c r="R107" s="2">
        <v>5</v>
      </c>
      <c r="S107" s="2"/>
    </row>
    <row r="108" spans="4:19" x14ac:dyDescent="0.3">
      <c r="D108" s="2">
        <v>105</v>
      </c>
      <c r="E108" s="2">
        <f t="shared" si="12"/>
        <v>769</v>
      </c>
      <c r="F108" s="2">
        <v>0</v>
      </c>
      <c r="G108" s="2">
        <v>-15</v>
      </c>
      <c r="H108" s="2">
        <f t="shared" si="14"/>
        <v>7.5</v>
      </c>
      <c r="I108" s="2">
        <v>2</v>
      </c>
      <c r="J108" s="2"/>
      <c r="M108" s="2">
        <v>105</v>
      </c>
      <c r="N108" s="2">
        <f t="shared" si="13"/>
        <v>769</v>
      </c>
      <c r="O108" s="2">
        <v>0</v>
      </c>
      <c r="P108" s="2">
        <v>15</v>
      </c>
      <c r="Q108" s="2">
        <f t="shared" si="15"/>
        <v>7.5</v>
      </c>
      <c r="R108" s="2">
        <v>2</v>
      </c>
      <c r="S108" s="2"/>
    </row>
    <row r="109" spans="4:19" x14ac:dyDescent="0.3">
      <c r="D109" s="2">
        <v>106</v>
      </c>
      <c r="E109" s="2">
        <f t="shared" si="12"/>
        <v>776.5</v>
      </c>
      <c r="F109" s="2">
        <v>0</v>
      </c>
      <c r="G109" s="2">
        <v>-15</v>
      </c>
      <c r="H109" s="2">
        <f t="shared" si="14"/>
        <v>7.5</v>
      </c>
      <c r="I109" s="2">
        <v>3</v>
      </c>
      <c r="J109" s="2"/>
      <c r="M109" s="2">
        <v>106</v>
      </c>
      <c r="N109" s="2">
        <f t="shared" si="13"/>
        <v>776.5</v>
      </c>
      <c r="O109" s="2">
        <v>0</v>
      </c>
      <c r="P109" s="2">
        <v>15</v>
      </c>
      <c r="Q109" s="2">
        <f t="shared" si="15"/>
        <v>7.5</v>
      </c>
      <c r="R109" s="2">
        <v>3</v>
      </c>
      <c r="S109" s="2"/>
    </row>
    <row r="110" spans="4:19" x14ac:dyDescent="0.3">
      <c r="D110" s="2">
        <v>107</v>
      </c>
      <c r="E110" s="2">
        <f t="shared" si="12"/>
        <v>784</v>
      </c>
      <c r="F110" s="2">
        <v>0</v>
      </c>
      <c r="G110" s="2">
        <v>-15</v>
      </c>
      <c r="H110" s="2">
        <f t="shared" si="14"/>
        <v>7.5</v>
      </c>
      <c r="I110" s="2">
        <v>2</v>
      </c>
      <c r="J110" s="2"/>
      <c r="M110" s="2">
        <v>107</v>
      </c>
      <c r="N110" s="2">
        <f t="shared" si="13"/>
        <v>784</v>
      </c>
      <c r="O110" s="2">
        <v>0</v>
      </c>
      <c r="P110" s="2">
        <v>15</v>
      </c>
      <c r="Q110" s="2">
        <f t="shared" si="15"/>
        <v>7.5</v>
      </c>
      <c r="R110" s="2">
        <v>2</v>
      </c>
      <c r="S110" s="2"/>
    </row>
    <row r="111" spans="4:19" x14ac:dyDescent="0.3">
      <c r="D111" s="2">
        <v>108</v>
      </c>
      <c r="E111" s="2">
        <f t="shared" si="12"/>
        <v>791.5</v>
      </c>
      <c r="F111" s="2">
        <v>0</v>
      </c>
      <c r="G111" s="2">
        <v>-15</v>
      </c>
      <c r="H111" s="2">
        <f t="shared" si="14"/>
        <v>7.5</v>
      </c>
      <c r="I111" s="2">
        <v>5</v>
      </c>
      <c r="J111" s="2">
        <v>5</v>
      </c>
      <c r="M111" s="2">
        <v>108</v>
      </c>
      <c r="N111" s="2">
        <f t="shared" si="13"/>
        <v>791.5</v>
      </c>
      <c r="O111" s="2">
        <v>0</v>
      </c>
      <c r="P111" s="2">
        <v>15</v>
      </c>
      <c r="Q111" s="2">
        <f t="shared" si="15"/>
        <v>7.5</v>
      </c>
      <c r="R111" s="2">
        <v>5</v>
      </c>
      <c r="S111" s="2"/>
    </row>
    <row r="112" spans="4:19" x14ac:dyDescent="0.3">
      <c r="D112" s="2">
        <v>109</v>
      </c>
      <c r="E112" s="2">
        <f t="shared" ref="E112:E126" si="24">E111+7.5</f>
        <v>799</v>
      </c>
      <c r="F112" s="2">
        <v>0</v>
      </c>
      <c r="G112" s="2">
        <v>-15</v>
      </c>
      <c r="H112" s="2">
        <f t="shared" si="14"/>
        <v>7.5</v>
      </c>
      <c r="I112" s="2">
        <v>2</v>
      </c>
      <c r="J112" s="2"/>
      <c r="M112" s="2">
        <v>109</v>
      </c>
      <c r="N112" s="2">
        <f t="shared" ref="N112:N126" si="25">N111+7.5</f>
        <v>799</v>
      </c>
      <c r="O112" s="2">
        <v>0</v>
      </c>
      <c r="P112" s="2">
        <v>15</v>
      </c>
      <c r="Q112" s="2">
        <f t="shared" si="15"/>
        <v>7.5</v>
      </c>
      <c r="R112" s="2">
        <v>2</v>
      </c>
      <c r="S112" s="2"/>
    </row>
    <row r="113" spans="4:19" x14ac:dyDescent="0.3">
      <c r="D113" s="2">
        <v>110</v>
      </c>
      <c r="E113" s="2">
        <f t="shared" si="24"/>
        <v>806.5</v>
      </c>
      <c r="F113" s="2">
        <v>0</v>
      </c>
      <c r="G113" s="2">
        <v>-15</v>
      </c>
      <c r="H113" s="2">
        <f t="shared" si="14"/>
        <v>7.5</v>
      </c>
      <c r="I113" s="2">
        <v>3</v>
      </c>
      <c r="J113" s="2"/>
      <c r="M113" s="2">
        <v>110</v>
      </c>
      <c r="N113" s="2">
        <f t="shared" si="25"/>
        <v>806.5</v>
      </c>
      <c r="O113" s="2">
        <v>0</v>
      </c>
      <c r="P113" s="2">
        <v>15</v>
      </c>
      <c r="Q113" s="2">
        <f t="shared" si="15"/>
        <v>7.5</v>
      </c>
      <c r="R113" s="2">
        <v>3</v>
      </c>
      <c r="S113" s="2"/>
    </row>
    <row r="114" spans="4:19" x14ac:dyDescent="0.3">
      <c r="D114" s="2">
        <v>111</v>
      </c>
      <c r="E114" s="2">
        <f t="shared" si="24"/>
        <v>814</v>
      </c>
      <c r="F114" s="2">
        <v>0</v>
      </c>
      <c r="G114" s="2">
        <v>-15</v>
      </c>
      <c r="H114" s="2">
        <f t="shared" si="14"/>
        <v>7.5</v>
      </c>
      <c r="I114" s="2">
        <v>2</v>
      </c>
      <c r="J114" s="2"/>
      <c r="M114" s="2">
        <v>111</v>
      </c>
      <c r="N114" s="2">
        <f t="shared" si="25"/>
        <v>814</v>
      </c>
      <c r="O114" s="2">
        <v>0</v>
      </c>
      <c r="P114" s="2">
        <v>15</v>
      </c>
      <c r="Q114" s="2">
        <f t="shared" si="15"/>
        <v>7.5</v>
      </c>
      <c r="R114" s="2">
        <v>2</v>
      </c>
      <c r="S114" s="2"/>
    </row>
    <row r="115" spans="4:19" x14ac:dyDescent="0.3">
      <c r="D115" s="2">
        <v>112</v>
      </c>
      <c r="E115" s="2">
        <f t="shared" si="24"/>
        <v>821.5</v>
      </c>
      <c r="F115" s="2">
        <v>0</v>
      </c>
      <c r="G115" s="2">
        <v>-15</v>
      </c>
      <c r="H115" s="2">
        <f t="shared" si="14"/>
        <v>7.5</v>
      </c>
      <c r="I115" s="2">
        <v>5</v>
      </c>
      <c r="J115" s="2">
        <v>5</v>
      </c>
      <c r="M115" s="2">
        <v>112</v>
      </c>
      <c r="N115" s="2">
        <f t="shared" si="25"/>
        <v>821.5</v>
      </c>
      <c r="O115" s="2">
        <v>0</v>
      </c>
      <c r="P115" s="2">
        <v>15</v>
      </c>
      <c r="Q115" s="2">
        <f t="shared" si="15"/>
        <v>7.5</v>
      </c>
      <c r="R115" s="2">
        <v>5</v>
      </c>
      <c r="S115" s="2"/>
    </row>
    <row r="116" spans="4:19" x14ac:dyDescent="0.3">
      <c r="D116" s="2">
        <v>113</v>
      </c>
      <c r="E116" s="2">
        <f t="shared" si="24"/>
        <v>829</v>
      </c>
      <c r="F116" s="2">
        <v>0</v>
      </c>
      <c r="G116" s="2">
        <v>-15</v>
      </c>
      <c r="H116" s="2">
        <f t="shared" si="14"/>
        <v>7.5</v>
      </c>
      <c r="I116" s="2">
        <v>2</v>
      </c>
      <c r="J116" s="2"/>
      <c r="M116" s="2">
        <v>113</v>
      </c>
      <c r="N116" s="2">
        <f t="shared" si="25"/>
        <v>829</v>
      </c>
      <c r="O116" s="2">
        <v>0</v>
      </c>
      <c r="P116" s="2">
        <v>15</v>
      </c>
      <c r="Q116" s="2">
        <f t="shared" si="15"/>
        <v>7.5</v>
      </c>
      <c r="R116" s="2">
        <v>2</v>
      </c>
      <c r="S116" s="2"/>
    </row>
    <row r="117" spans="4:19" x14ac:dyDescent="0.3">
      <c r="D117" s="2">
        <v>114</v>
      </c>
      <c r="E117" s="2">
        <f t="shared" si="24"/>
        <v>836.5</v>
      </c>
      <c r="F117" s="2">
        <v>0</v>
      </c>
      <c r="G117" s="2">
        <v>-15</v>
      </c>
      <c r="H117" s="2">
        <f t="shared" si="14"/>
        <v>7.5</v>
      </c>
      <c r="I117" s="2">
        <v>3</v>
      </c>
      <c r="J117" s="2"/>
      <c r="M117" s="2">
        <v>114</v>
      </c>
      <c r="N117" s="2">
        <f t="shared" si="25"/>
        <v>836.5</v>
      </c>
      <c r="O117" s="2">
        <v>0</v>
      </c>
      <c r="P117" s="2">
        <v>15</v>
      </c>
      <c r="Q117" s="2">
        <f t="shared" si="15"/>
        <v>7.5</v>
      </c>
      <c r="R117" s="2">
        <v>3</v>
      </c>
      <c r="S117" s="2"/>
    </row>
    <row r="118" spans="4:19" x14ac:dyDescent="0.3">
      <c r="D118" s="2">
        <v>115</v>
      </c>
      <c r="E118" s="2">
        <f t="shared" si="24"/>
        <v>844</v>
      </c>
      <c r="F118" s="2">
        <v>0</v>
      </c>
      <c r="G118" s="2">
        <v>-15</v>
      </c>
      <c r="H118" s="2">
        <f t="shared" si="14"/>
        <v>7.5</v>
      </c>
      <c r="I118" s="2">
        <v>2</v>
      </c>
      <c r="J118" s="2"/>
      <c r="M118" s="2">
        <v>115</v>
      </c>
      <c r="N118" s="2">
        <f t="shared" si="25"/>
        <v>844</v>
      </c>
      <c r="O118" s="2">
        <v>0</v>
      </c>
      <c r="P118" s="2">
        <v>15</v>
      </c>
      <c r="Q118" s="2">
        <f t="shared" si="15"/>
        <v>7.5</v>
      </c>
      <c r="R118" s="2">
        <v>2</v>
      </c>
      <c r="S118" s="2"/>
    </row>
    <row r="119" spans="4:19" x14ac:dyDescent="0.3">
      <c r="D119" s="2">
        <v>116</v>
      </c>
      <c r="E119" s="2">
        <f t="shared" si="24"/>
        <v>851.5</v>
      </c>
      <c r="F119" s="2">
        <v>0</v>
      </c>
      <c r="G119" s="2">
        <v>-15</v>
      </c>
      <c r="H119" s="2">
        <f t="shared" si="14"/>
        <v>7.5</v>
      </c>
      <c r="I119" s="2">
        <v>5</v>
      </c>
      <c r="J119" s="2">
        <v>5</v>
      </c>
      <c r="M119" s="2">
        <v>116</v>
      </c>
      <c r="N119" s="2">
        <f t="shared" si="25"/>
        <v>851.5</v>
      </c>
      <c r="O119" s="2">
        <v>0</v>
      </c>
      <c r="P119" s="2">
        <v>15</v>
      </c>
      <c r="Q119" s="2">
        <f t="shared" si="15"/>
        <v>7.5</v>
      </c>
      <c r="R119" s="2">
        <v>5</v>
      </c>
      <c r="S119" s="2"/>
    </row>
    <row r="120" spans="4:19" x14ac:dyDescent="0.3">
      <c r="D120" s="2">
        <v>117</v>
      </c>
      <c r="E120" s="2">
        <f t="shared" si="24"/>
        <v>859</v>
      </c>
      <c r="F120" s="2">
        <v>0</v>
      </c>
      <c r="G120" s="2">
        <v>-15</v>
      </c>
      <c r="H120" s="2">
        <f t="shared" si="14"/>
        <v>7.5</v>
      </c>
      <c r="I120" s="2">
        <v>2</v>
      </c>
      <c r="J120" s="2"/>
      <c r="M120" s="2">
        <v>117</v>
      </c>
      <c r="N120" s="2">
        <f t="shared" si="25"/>
        <v>859</v>
      </c>
      <c r="O120" s="2">
        <v>0</v>
      </c>
      <c r="P120" s="2">
        <v>15</v>
      </c>
      <c r="Q120" s="2">
        <f t="shared" si="15"/>
        <v>7.5</v>
      </c>
      <c r="R120" s="2">
        <v>2</v>
      </c>
      <c r="S120" s="2"/>
    </row>
    <row r="121" spans="4:19" x14ac:dyDescent="0.3">
      <c r="D121" s="2">
        <v>118</v>
      </c>
      <c r="E121" s="2">
        <f t="shared" si="24"/>
        <v>866.5</v>
      </c>
      <c r="F121" s="2">
        <v>0</v>
      </c>
      <c r="G121" s="2">
        <v>-15</v>
      </c>
      <c r="H121" s="2">
        <f t="shared" si="14"/>
        <v>7.5</v>
      </c>
      <c r="I121" s="2">
        <v>3</v>
      </c>
      <c r="J121" s="2"/>
      <c r="M121" s="2">
        <v>118</v>
      </c>
      <c r="N121" s="2">
        <f t="shared" si="25"/>
        <v>866.5</v>
      </c>
      <c r="O121" s="2">
        <v>0</v>
      </c>
      <c r="P121" s="2">
        <v>15</v>
      </c>
      <c r="Q121" s="2">
        <f t="shared" si="15"/>
        <v>7.5</v>
      </c>
      <c r="R121" s="2">
        <v>3</v>
      </c>
      <c r="S121" s="2"/>
    </row>
    <row r="122" spans="4:19" x14ac:dyDescent="0.3">
      <c r="D122" s="2">
        <v>119</v>
      </c>
      <c r="E122" s="2">
        <f t="shared" si="24"/>
        <v>874</v>
      </c>
      <c r="F122" s="2">
        <v>0</v>
      </c>
      <c r="G122" s="2">
        <v>-15</v>
      </c>
      <c r="H122" s="2">
        <f t="shared" si="14"/>
        <v>7.5</v>
      </c>
      <c r="I122" s="2">
        <v>2</v>
      </c>
      <c r="J122" s="2"/>
      <c r="M122" s="2">
        <v>119</v>
      </c>
      <c r="N122" s="2">
        <f t="shared" si="25"/>
        <v>874</v>
      </c>
      <c r="O122" s="2">
        <v>0</v>
      </c>
      <c r="P122" s="2">
        <v>15</v>
      </c>
      <c r="Q122" s="2">
        <f t="shared" si="15"/>
        <v>7.5</v>
      </c>
      <c r="R122" s="2">
        <v>2</v>
      </c>
      <c r="S122" s="2"/>
    </row>
    <row r="123" spans="4:19" x14ac:dyDescent="0.3">
      <c r="D123" s="2">
        <v>120</v>
      </c>
      <c r="E123" s="2">
        <f t="shared" si="24"/>
        <v>881.5</v>
      </c>
      <c r="F123" s="2">
        <v>0</v>
      </c>
      <c r="G123" s="2">
        <v>-15</v>
      </c>
      <c r="H123" s="2">
        <f t="shared" si="14"/>
        <v>7.5</v>
      </c>
      <c r="I123" s="2">
        <v>5</v>
      </c>
      <c r="J123" s="2">
        <v>5</v>
      </c>
      <c r="M123" s="2">
        <v>120</v>
      </c>
      <c r="N123" s="2">
        <f t="shared" si="25"/>
        <v>881.5</v>
      </c>
      <c r="O123" s="2">
        <v>0</v>
      </c>
      <c r="P123" s="2">
        <v>15</v>
      </c>
      <c r="Q123" s="2">
        <f t="shared" si="15"/>
        <v>7.5</v>
      </c>
      <c r="R123" s="2">
        <v>5</v>
      </c>
      <c r="S123" s="2"/>
    </row>
    <row r="124" spans="4:19" x14ac:dyDescent="0.3">
      <c r="D124" s="2">
        <v>121</v>
      </c>
      <c r="E124" s="2">
        <f t="shared" si="24"/>
        <v>889</v>
      </c>
      <c r="F124" s="2">
        <v>0</v>
      </c>
      <c r="G124" s="2">
        <v>-15</v>
      </c>
      <c r="H124" s="2">
        <f t="shared" si="14"/>
        <v>7.5</v>
      </c>
      <c r="I124" s="2">
        <v>2</v>
      </c>
      <c r="J124" s="2"/>
      <c r="M124" s="2">
        <v>121</v>
      </c>
      <c r="N124" s="2">
        <f t="shared" si="25"/>
        <v>889</v>
      </c>
      <c r="O124" s="2">
        <v>0</v>
      </c>
      <c r="P124" s="2">
        <v>15</v>
      </c>
      <c r="Q124" s="2">
        <f t="shared" si="15"/>
        <v>7.5</v>
      </c>
      <c r="R124" s="2">
        <v>2</v>
      </c>
      <c r="S124" s="2"/>
    </row>
    <row r="125" spans="4:19" x14ac:dyDescent="0.3">
      <c r="D125" s="2">
        <v>122</v>
      </c>
      <c r="E125" s="2">
        <f t="shared" si="24"/>
        <v>896.5</v>
      </c>
      <c r="F125" s="2">
        <v>0</v>
      </c>
      <c r="G125" s="2">
        <v>-15</v>
      </c>
      <c r="H125" s="2">
        <f t="shared" si="14"/>
        <v>7.5</v>
      </c>
      <c r="I125" s="2">
        <v>3</v>
      </c>
      <c r="J125" s="2"/>
      <c r="M125" s="2">
        <v>122</v>
      </c>
      <c r="N125" s="2">
        <f t="shared" si="25"/>
        <v>896.5</v>
      </c>
      <c r="O125" s="2">
        <v>0</v>
      </c>
      <c r="P125" s="2">
        <v>15</v>
      </c>
      <c r="Q125" s="2">
        <f t="shared" si="15"/>
        <v>7.5</v>
      </c>
      <c r="R125" s="2">
        <v>3</v>
      </c>
      <c r="S125" s="2"/>
    </row>
    <row r="126" spans="4:19" x14ac:dyDescent="0.3">
      <c r="D126" s="2">
        <v>123</v>
      </c>
      <c r="E126" s="2">
        <f t="shared" si="24"/>
        <v>904</v>
      </c>
      <c r="F126" s="2">
        <v>0</v>
      </c>
      <c r="G126" s="2">
        <v>-15</v>
      </c>
      <c r="H126" s="2">
        <f t="shared" si="14"/>
        <v>8</v>
      </c>
      <c r="I126" s="2">
        <v>2</v>
      </c>
      <c r="J126" s="2"/>
      <c r="M126" s="2">
        <v>123</v>
      </c>
      <c r="N126" s="2">
        <f t="shared" si="25"/>
        <v>904</v>
      </c>
      <c r="O126" s="2">
        <v>0</v>
      </c>
      <c r="P126" s="2">
        <v>15</v>
      </c>
      <c r="Q126" s="2">
        <f t="shared" si="15"/>
        <v>8</v>
      </c>
      <c r="R126" s="2">
        <v>2</v>
      </c>
      <c r="S126" s="2"/>
    </row>
    <row r="127" spans="4:19" x14ac:dyDescent="0.3">
      <c r="D127" s="2">
        <v>124</v>
      </c>
      <c r="E127" s="2">
        <f>E126+8</f>
        <v>912</v>
      </c>
      <c r="F127" s="2">
        <v>0</v>
      </c>
      <c r="G127" s="2">
        <v>-15</v>
      </c>
      <c r="H127" s="2">
        <f t="shared" si="14"/>
        <v>8</v>
      </c>
      <c r="I127" s="2">
        <v>5</v>
      </c>
      <c r="J127" s="2">
        <v>5</v>
      </c>
      <c r="M127" s="2">
        <v>124</v>
      </c>
      <c r="N127" s="2">
        <f>N126+8</f>
        <v>912</v>
      </c>
      <c r="O127" s="2">
        <v>0</v>
      </c>
      <c r="P127" s="2">
        <v>15</v>
      </c>
      <c r="Q127" s="2">
        <f t="shared" si="15"/>
        <v>8</v>
      </c>
      <c r="R127" s="2">
        <v>5</v>
      </c>
      <c r="S127" s="2"/>
    </row>
    <row r="128" spans="4:19" x14ac:dyDescent="0.3">
      <c r="D128" s="2">
        <v>125</v>
      </c>
      <c r="E128" s="2">
        <f>E127+8</f>
        <v>920</v>
      </c>
      <c r="F128" s="2">
        <v>0</v>
      </c>
      <c r="G128" s="2">
        <v>-15</v>
      </c>
      <c r="H128" s="2">
        <f t="shared" si="14"/>
        <v>7.5</v>
      </c>
      <c r="I128" s="2">
        <v>2</v>
      </c>
      <c r="J128" s="2"/>
      <c r="M128" s="2">
        <v>125</v>
      </c>
      <c r="N128" s="2">
        <f>N127+8</f>
        <v>920</v>
      </c>
      <c r="O128" s="2">
        <v>0</v>
      </c>
      <c r="P128" s="2">
        <v>15</v>
      </c>
      <c r="Q128" s="2">
        <f t="shared" si="15"/>
        <v>7.5</v>
      </c>
      <c r="R128" s="2">
        <v>2</v>
      </c>
      <c r="S128" s="2"/>
    </row>
    <row r="129" spans="4:19" x14ac:dyDescent="0.3">
      <c r="D129" s="2">
        <v>126</v>
      </c>
      <c r="E129" s="2">
        <f>E128+7.5</f>
        <v>927.5</v>
      </c>
      <c r="F129" s="2">
        <v>0</v>
      </c>
      <c r="G129" s="2">
        <v>-15</v>
      </c>
      <c r="H129" s="2">
        <f t="shared" si="14"/>
        <v>7.5</v>
      </c>
      <c r="I129" s="2">
        <v>3</v>
      </c>
      <c r="J129" s="2"/>
      <c r="M129" s="2">
        <v>126</v>
      </c>
      <c r="N129" s="2">
        <f>N128+7.5</f>
        <v>927.5</v>
      </c>
      <c r="O129" s="2">
        <v>0</v>
      </c>
      <c r="P129" s="2">
        <v>15</v>
      </c>
      <c r="Q129" s="2">
        <f t="shared" si="15"/>
        <v>7.5</v>
      </c>
      <c r="R129" s="2">
        <v>3</v>
      </c>
      <c r="S129" s="2"/>
    </row>
    <row r="130" spans="4:19" x14ac:dyDescent="0.3">
      <c r="D130" s="2">
        <v>127</v>
      </c>
      <c r="E130" s="2">
        <f t="shared" ref="E130:E150" si="26">E129+7.5</f>
        <v>935</v>
      </c>
      <c r="F130" s="2">
        <v>0</v>
      </c>
      <c r="G130" s="2">
        <v>-15</v>
      </c>
      <c r="H130" s="2">
        <f t="shared" si="14"/>
        <v>7.5</v>
      </c>
      <c r="I130" s="2">
        <v>2</v>
      </c>
      <c r="J130" s="2"/>
      <c r="M130" s="2">
        <v>127</v>
      </c>
      <c r="N130" s="2">
        <f t="shared" ref="N130:N150" si="27">N129+7.5</f>
        <v>935</v>
      </c>
      <c r="O130" s="2">
        <v>0</v>
      </c>
      <c r="P130" s="2">
        <v>15</v>
      </c>
      <c r="Q130" s="2">
        <f t="shared" si="15"/>
        <v>7.5</v>
      </c>
      <c r="R130" s="2">
        <v>2</v>
      </c>
      <c r="S130" s="2"/>
    </row>
    <row r="131" spans="4:19" x14ac:dyDescent="0.3">
      <c r="D131" s="2">
        <v>128</v>
      </c>
      <c r="E131" s="2">
        <f t="shared" si="26"/>
        <v>942.5</v>
      </c>
      <c r="F131" s="2">
        <v>0</v>
      </c>
      <c r="G131" s="2">
        <v>-15</v>
      </c>
      <c r="H131" s="2">
        <f t="shared" si="14"/>
        <v>7.5</v>
      </c>
      <c r="I131" s="2">
        <v>5</v>
      </c>
      <c r="J131" s="2">
        <v>5</v>
      </c>
      <c r="M131" s="2">
        <v>128</v>
      </c>
      <c r="N131" s="2">
        <f t="shared" si="27"/>
        <v>942.5</v>
      </c>
      <c r="O131" s="2">
        <v>0</v>
      </c>
      <c r="P131" s="2">
        <v>15</v>
      </c>
      <c r="Q131" s="2">
        <f t="shared" si="15"/>
        <v>7.5</v>
      </c>
      <c r="R131" s="2">
        <v>5</v>
      </c>
      <c r="S131" s="2"/>
    </row>
    <row r="132" spans="4:19" x14ac:dyDescent="0.3">
      <c r="D132" s="2">
        <v>129</v>
      </c>
      <c r="E132" s="2">
        <f t="shared" si="26"/>
        <v>950</v>
      </c>
      <c r="F132" s="2">
        <v>0</v>
      </c>
      <c r="G132" s="2">
        <v>-15</v>
      </c>
      <c r="H132" s="2">
        <f t="shared" si="14"/>
        <v>7.5</v>
      </c>
      <c r="I132" s="2">
        <v>2</v>
      </c>
      <c r="J132" s="2"/>
      <c r="M132" s="2">
        <v>129</v>
      </c>
      <c r="N132" s="2">
        <f t="shared" si="27"/>
        <v>950</v>
      </c>
      <c r="O132" s="2">
        <v>0</v>
      </c>
      <c r="P132" s="2">
        <v>15</v>
      </c>
      <c r="Q132" s="2">
        <f t="shared" si="15"/>
        <v>7.5</v>
      </c>
      <c r="R132" s="2">
        <v>2</v>
      </c>
      <c r="S132" s="2"/>
    </row>
    <row r="133" spans="4:19" x14ac:dyDescent="0.3">
      <c r="D133" s="2">
        <v>130</v>
      </c>
      <c r="E133" s="2">
        <f t="shared" si="26"/>
        <v>957.5</v>
      </c>
      <c r="F133" s="2">
        <v>0</v>
      </c>
      <c r="G133" s="2">
        <v>-15</v>
      </c>
      <c r="H133" s="2">
        <f t="shared" ref="H133:H196" si="28">SQRT((E134-E133)^2+(F134-F133)^2+(G134-G133)^2)</f>
        <v>7.5</v>
      </c>
      <c r="I133" s="2">
        <v>3</v>
      </c>
      <c r="J133" s="2"/>
      <c r="M133" s="2">
        <v>130</v>
      </c>
      <c r="N133" s="2">
        <f t="shared" si="27"/>
        <v>957.5</v>
      </c>
      <c r="O133" s="2">
        <v>0</v>
      </c>
      <c r="P133" s="2">
        <v>15</v>
      </c>
      <c r="Q133" s="2">
        <f t="shared" ref="Q133:Q196" si="29">SQRT((N134-N133)^2+(O134-O133)^2+(P134-P133)^2)</f>
        <v>7.5</v>
      </c>
      <c r="R133" s="2">
        <v>3</v>
      </c>
      <c r="S133" s="2"/>
    </row>
    <row r="134" spans="4:19" x14ac:dyDescent="0.3">
      <c r="D134" s="2">
        <v>131</v>
      </c>
      <c r="E134" s="2">
        <f t="shared" si="26"/>
        <v>965</v>
      </c>
      <c r="F134" s="2">
        <v>0</v>
      </c>
      <c r="G134" s="2">
        <v>-15</v>
      </c>
      <c r="H134" s="2">
        <f t="shared" si="28"/>
        <v>7.5</v>
      </c>
      <c r="I134" s="2">
        <v>2</v>
      </c>
      <c r="J134" s="2"/>
      <c r="M134" s="2">
        <v>131</v>
      </c>
      <c r="N134" s="2">
        <f t="shared" si="27"/>
        <v>965</v>
      </c>
      <c r="O134" s="2">
        <v>0</v>
      </c>
      <c r="P134" s="2">
        <v>15</v>
      </c>
      <c r="Q134" s="2">
        <f t="shared" si="29"/>
        <v>7.5</v>
      </c>
      <c r="R134" s="2">
        <v>2</v>
      </c>
      <c r="S134" s="2"/>
    </row>
    <row r="135" spans="4:19" x14ac:dyDescent="0.3">
      <c r="D135" s="2">
        <v>132</v>
      </c>
      <c r="E135" s="2">
        <f t="shared" si="26"/>
        <v>972.5</v>
      </c>
      <c r="F135" s="2">
        <v>0</v>
      </c>
      <c r="G135" s="2">
        <v>-15</v>
      </c>
      <c r="H135" s="2">
        <f t="shared" si="28"/>
        <v>7.5</v>
      </c>
      <c r="I135" s="2">
        <v>5</v>
      </c>
      <c r="J135" s="2">
        <v>5</v>
      </c>
      <c r="M135" s="2">
        <v>132</v>
      </c>
      <c r="N135" s="2">
        <f t="shared" si="27"/>
        <v>972.5</v>
      </c>
      <c r="O135" s="2">
        <v>0</v>
      </c>
      <c r="P135" s="2">
        <v>15</v>
      </c>
      <c r="Q135" s="2">
        <f t="shared" si="29"/>
        <v>7.5</v>
      </c>
      <c r="R135" s="2">
        <v>5</v>
      </c>
      <c r="S135" s="2"/>
    </row>
    <row r="136" spans="4:19" x14ac:dyDescent="0.3">
      <c r="D136" s="2">
        <v>133</v>
      </c>
      <c r="E136" s="2">
        <f t="shared" si="26"/>
        <v>980</v>
      </c>
      <c r="F136" s="2">
        <v>0</v>
      </c>
      <c r="G136" s="2">
        <v>-15</v>
      </c>
      <c r="H136" s="2">
        <f t="shared" si="28"/>
        <v>7.5</v>
      </c>
      <c r="I136" s="2">
        <v>2</v>
      </c>
      <c r="J136" s="2"/>
      <c r="M136" s="2">
        <v>133</v>
      </c>
      <c r="N136" s="2">
        <f t="shared" si="27"/>
        <v>980</v>
      </c>
      <c r="O136" s="2">
        <v>0</v>
      </c>
      <c r="P136" s="2">
        <v>15</v>
      </c>
      <c r="Q136" s="2">
        <f t="shared" si="29"/>
        <v>7.5</v>
      </c>
      <c r="R136" s="2">
        <v>2</v>
      </c>
      <c r="S136" s="2"/>
    </row>
    <row r="137" spans="4:19" x14ac:dyDescent="0.3">
      <c r="D137" s="2">
        <v>134</v>
      </c>
      <c r="E137" s="2">
        <f t="shared" si="26"/>
        <v>987.5</v>
      </c>
      <c r="F137" s="2">
        <v>0</v>
      </c>
      <c r="G137" s="2">
        <v>-15</v>
      </c>
      <c r="H137" s="2">
        <f t="shared" si="28"/>
        <v>7.5</v>
      </c>
      <c r="I137" s="2">
        <v>3</v>
      </c>
      <c r="J137" s="2"/>
      <c r="M137" s="2">
        <v>134</v>
      </c>
      <c r="N137" s="2">
        <f t="shared" si="27"/>
        <v>987.5</v>
      </c>
      <c r="O137" s="2">
        <v>0</v>
      </c>
      <c r="P137" s="2">
        <v>15</v>
      </c>
      <c r="Q137" s="2">
        <f t="shared" si="29"/>
        <v>7.5</v>
      </c>
      <c r="R137" s="2">
        <v>3</v>
      </c>
      <c r="S137" s="2"/>
    </row>
    <row r="138" spans="4:19" x14ac:dyDescent="0.3">
      <c r="D138" s="2">
        <v>135</v>
      </c>
      <c r="E138" s="2">
        <f t="shared" si="26"/>
        <v>995</v>
      </c>
      <c r="F138" s="2">
        <v>0</v>
      </c>
      <c r="G138" s="2">
        <v>-15</v>
      </c>
      <c r="H138" s="2">
        <f t="shared" si="28"/>
        <v>7.5</v>
      </c>
      <c r="I138" s="2">
        <v>2</v>
      </c>
      <c r="J138" s="2"/>
      <c r="M138" s="2">
        <v>135</v>
      </c>
      <c r="N138" s="2">
        <f t="shared" si="27"/>
        <v>995</v>
      </c>
      <c r="O138" s="2">
        <v>0</v>
      </c>
      <c r="P138" s="2">
        <v>15</v>
      </c>
      <c r="Q138" s="2">
        <f t="shared" si="29"/>
        <v>7.5</v>
      </c>
      <c r="R138" s="2">
        <v>2</v>
      </c>
      <c r="S138" s="2"/>
    </row>
    <row r="139" spans="4:19" x14ac:dyDescent="0.3">
      <c r="D139" s="2">
        <v>136</v>
      </c>
      <c r="E139" s="2">
        <f t="shared" si="26"/>
        <v>1002.5</v>
      </c>
      <c r="F139" s="2">
        <v>0</v>
      </c>
      <c r="G139" s="2">
        <v>-15</v>
      </c>
      <c r="H139" s="2">
        <f t="shared" si="28"/>
        <v>7.5</v>
      </c>
      <c r="I139" s="2">
        <v>5</v>
      </c>
      <c r="J139" s="2">
        <v>5</v>
      </c>
      <c r="M139" s="2">
        <v>136</v>
      </c>
      <c r="N139" s="2">
        <f t="shared" si="27"/>
        <v>1002.5</v>
      </c>
      <c r="O139" s="2">
        <v>0</v>
      </c>
      <c r="P139" s="2">
        <v>15</v>
      </c>
      <c r="Q139" s="2">
        <f t="shared" si="29"/>
        <v>7.5</v>
      </c>
      <c r="R139" s="2">
        <v>5</v>
      </c>
      <c r="S139" s="2"/>
    </row>
    <row r="140" spans="4:19" x14ac:dyDescent="0.3">
      <c r="D140" s="2">
        <v>137</v>
      </c>
      <c r="E140" s="2">
        <f t="shared" si="26"/>
        <v>1010</v>
      </c>
      <c r="F140" s="2">
        <v>0</v>
      </c>
      <c r="G140" s="2">
        <v>-15</v>
      </c>
      <c r="H140" s="2">
        <f t="shared" si="28"/>
        <v>7.5</v>
      </c>
      <c r="I140" s="2">
        <v>2</v>
      </c>
      <c r="J140" s="2"/>
      <c r="M140" s="2">
        <v>137</v>
      </c>
      <c r="N140" s="2">
        <f t="shared" si="27"/>
        <v>1010</v>
      </c>
      <c r="O140" s="2">
        <v>0</v>
      </c>
      <c r="P140" s="2">
        <v>15</v>
      </c>
      <c r="Q140" s="2">
        <f t="shared" si="29"/>
        <v>7.5</v>
      </c>
      <c r="R140" s="2">
        <v>2</v>
      </c>
      <c r="S140" s="2"/>
    </row>
    <row r="141" spans="4:19" x14ac:dyDescent="0.3">
      <c r="D141" s="2">
        <v>138</v>
      </c>
      <c r="E141" s="2">
        <f t="shared" si="26"/>
        <v>1017.5</v>
      </c>
      <c r="F141" s="2">
        <v>0</v>
      </c>
      <c r="G141" s="2">
        <v>-15</v>
      </c>
      <c r="H141" s="2">
        <f t="shared" si="28"/>
        <v>7.5</v>
      </c>
      <c r="I141" s="2">
        <v>3</v>
      </c>
      <c r="J141" s="2"/>
      <c r="M141" s="2">
        <v>138</v>
      </c>
      <c r="N141" s="2">
        <f t="shared" si="27"/>
        <v>1017.5</v>
      </c>
      <c r="O141" s="2">
        <v>0</v>
      </c>
      <c r="P141" s="2">
        <v>15</v>
      </c>
      <c r="Q141" s="2">
        <f t="shared" si="29"/>
        <v>7.5</v>
      </c>
      <c r="R141" s="2">
        <v>3</v>
      </c>
      <c r="S141" s="2"/>
    </row>
    <row r="142" spans="4:19" x14ac:dyDescent="0.3">
      <c r="D142" s="2">
        <v>139</v>
      </c>
      <c r="E142" s="2">
        <f t="shared" si="26"/>
        <v>1025</v>
      </c>
      <c r="F142" s="2">
        <v>0</v>
      </c>
      <c r="G142" s="2">
        <v>-15</v>
      </c>
      <c r="H142" s="2">
        <f t="shared" si="28"/>
        <v>7.5</v>
      </c>
      <c r="I142" s="2">
        <v>2</v>
      </c>
      <c r="J142" s="2"/>
      <c r="M142" s="2">
        <v>139</v>
      </c>
      <c r="N142" s="2">
        <f t="shared" si="27"/>
        <v>1025</v>
      </c>
      <c r="O142" s="2">
        <v>0</v>
      </c>
      <c r="P142" s="2">
        <v>15</v>
      </c>
      <c r="Q142" s="2">
        <f t="shared" si="29"/>
        <v>7.5</v>
      </c>
      <c r="R142" s="2">
        <v>2</v>
      </c>
      <c r="S142" s="2"/>
    </row>
    <row r="143" spans="4:19" x14ac:dyDescent="0.3">
      <c r="D143" s="2">
        <v>140</v>
      </c>
      <c r="E143" s="2">
        <f t="shared" si="26"/>
        <v>1032.5</v>
      </c>
      <c r="F143" s="2">
        <v>0</v>
      </c>
      <c r="G143" s="2">
        <v>-15</v>
      </c>
      <c r="H143" s="2">
        <f t="shared" si="28"/>
        <v>7.5</v>
      </c>
      <c r="I143" s="2">
        <v>5</v>
      </c>
      <c r="J143" s="2">
        <v>5</v>
      </c>
      <c r="M143" s="2">
        <v>140</v>
      </c>
      <c r="N143" s="2">
        <f t="shared" si="27"/>
        <v>1032.5</v>
      </c>
      <c r="O143" s="2">
        <v>0</v>
      </c>
      <c r="P143" s="2">
        <v>15</v>
      </c>
      <c r="Q143" s="2">
        <f t="shared" si="29"/>
        <v>7.5</v>
      </c>
      <c r="R143" s="2">
        <v>5</v>
      </c>
      <c r="S143" s="2"/>
    </row>
    <row r="144" spans="4:19" x14ac:dyDescent="0.3">
      <c r="D144" s="2">
        <v>141</v>
      </c>
      <c r="E144" s="2">
        <f t="shared" si="26"/>
        <v>1040</v>
      </c>
      <c r="F144" s="2">
        <v>0</v>
      </c>
      <c r="G144" s="2">
        <v>-15</v>
      </c>
      <c r="H144" s="2">
        <f t="shared" si="28"/>
        <v>7.5</v>
      </c>
      <c r="I144" s="2">
        <v>2</v>
      </c>
      <c r="J144" s="2"/>
      <c r="M144" s="2">
        <v>141</v>
      </c>
      <c r="N144" s="2">
        <f t="shared" si="27"/>
        <v>1040</v>
      </c>
      <c r="O144" s="2">
        <v>0</v>
      </c>
      <c r="P144" s="2">
        <v>15</v>
      </c>
      <c r="Q144" s="2">
        <f t="shared" si="29"/>
        <v>7.5</v>
      </c>
      <c r="R144" s="2">
        <v>2</v>
      </c>
      <c r="S144" s="2"/>
    </row>
    <row r="145" spans="4:19" x14ac:dyDescent="0.3">
      <c r="D145" s="2">
        <v>142</v>
      </c>
      <c r="E145" s="2">
        <f t="shared" si="26"/>
        <v>1047.5</v>
      </c>
      <c r="F145" s="2">
        <v>0</v>
      </c>
      <c r="G145" s="2">
        <v>-15</v>
      </c>
      <c r="H145" s="2">
        <f t="shared" si="28"/>
        <v>7.5</v>
      </c>
      <c r="I145" s="2">
        <v>3</v>
      </c>
      <c r="J145" s="2"/>
      <c r="M145" s="2">
        <v>142</v>
      </c>
      <c r="N145" s="2">
        <f t="shared" si="27"/>
        <v>1047.5</v>
      </c>
      <c r="O145" s="2">
        <v>0</v>
      </c>
      <c r="P145" s="2">
        <v>15</v>
      </c>
      <c r="Q145" s="2">
        <f t="shared" si="29"/>
        <v>7.5</v>
      </c>
      <c r="R145" s="2">
        <v>3</v>
      </c>
      <c r="S145" s="2"/>
    </row>
    <row r="146" spans="4:19" x14ac:dyDescent="0.3">
      <c r="D146" s="2">
        <v>143</v>
      </c>
      <c r="E146" s="2">
        <f t="shared" si="26"/>
        <v>1055</v>
      </c>
      <c r="F146" s="2">
        <v>0</v>
      </c>
      <c r="G146" s="2">
        <v>-15</v>
      </c>
      <c r="H146" s="2">
        <f t="shared" si="28"/>
        <v>7.5</v>
      </c>
      <c r="I146" s="2">
        <v>2</v>
      </c>
      <c r="J146" s="2"/>
      <c r="M146" s="2">
        <v>143</v>
      </c>
      <c r="N146" s="2">
        <f t="shared" si="27"/>
        <v>1055</v>
      </c>
      <c r="O146" s="2">
        <v>0</v>
      </c>
      <c r="P146" s="2">
        <v>15</v>
      </c>
      <c r="Q146" s="2">
        <f t="shared" si="29"/>
        <v>7.5</v>
      </c>
      <c r="R146" s="2">
        <v>2</v>
      </c>
      <c r="S146" s="2"/>
    </row>
    <row r="147" spans="4:19" x14ac:dyDescent="0.3">
      <c r="D147" s="2">
        <v>144</v>
      </c>
      <c r="E147" s="2">
        <f t="shared" si="26"/>
        <v>1062.5</v>
      </c>
      <c r="F147" s="2">
        <v>0</v>
      </c>
      <c r="G147" s="2">
        <v>-15</v>
      </c>
      <c r="H147" s="2">
        <f t="shared" si="28"/>
        <v>7.5</v>
      </c>
      <c r="I147" s="2">
        <v>5</v>
      </c>
      <c r="J147" s="2">
        <v>5</v>
      </c>
      <c r="M147" s="2">
        <v>144</v>
      </c>
      <c r="N147" s="2">
        <f t="shared" si="27"/>
        <v>1062.5</v>
      </c>
      <c r="O147" s="2">
        <v>0</v>
      </c>
      <c r="P147" s="2">
        <v>15</v>
      </c>
      <c r="Q147" s="2">
        <f t="shared" si="29"/>
        <v>7.5</v>
      </c>
      <c r="R147" s="2">
        <v>5</v>
      </c>
      <c r="S147" s="2"/>
    </row>
    <row r="148" spans="4:19" x14ac:dyDescent="0.3">
      <c r="D148" s="2">
        <v>145</v>
      </c>
      <c r="E148" s="2">
        <f t="shared" si="26"/>
        <v>1070</v>
      </c>
      <c r="F148" s="2">
        <v>0</v>
      </c>
      <c r="G148" s="2">
        <v>-15</v>
      </c>
      <c r="H148" s="2">
        <f t="shared" si="28"/>
        <v>7.5</v>
      </c>
      <c r="I148" s="2">
        <v>2</v>
      </c>
      <c r="J148" s="2"/>
      <c r="M148" s="2">
        <v>145</v>
      </c>
      <c r="N148" s="2">
        <f t="shared" si="27"/>
        <v>1070</v>
      </c>
      <c r="O148" s="2">
        <v>0</v>
      </c>
      <c r="P148" s="2">
        <v>15</v>
      </c>
      <c r="Q148" s="2">
        <f t="shared" si="29"/>
        <v>7.5</v>
      </c>
      <c r="R148" s="2">
        <v>2</v>
      </c>
      <c r="S148" s="2"/>
    </row>
    <row r="149" spans="4:19" x14ac:dyDescent="0.3">
      <c r="D149" s="2">
        <v>146</v>
      </c>
      <c r="E149" s="2">
        <f t="shared" si="26"/>
        <v>1077.5</v>
      </c>
      <c r="F149" s="2">
        <v>0</v>
      </c>
      <c r="G149" s="2">
        <v>-15</v>
      </c>
      <c r="H149" s="2">
        <f t="shared" si="28"/>
        <v>7.5</v>
      </c>
      <c r="I149" s="2">
        <v>3</v>
      </c>
      <c r="J149" s="2"/>
      <c r="M149" s="2">
        <v>146</v>
      </c>
      <c r="N149" s="2">
        <f t="shared" si="27"/>
        <v>1077.5</v>
      </c>
      <c r="O149" s="2">
        <v>0</v>
      </c>
      <c r="P149" s="2">
        <v>15</v>
      </c>
      <c r="Q149" s="2">
        <f t="shared" si="29"/>
        <v>7.5</v>
      </c>
      <c r="R149" s="2">
        <v>3</v>
      </c>
      <c r="S149" s="2"/>
    </row>
    <row r="150" spans="4:19" x14ac:dyDescent="0.3">
      <c r="D150" s="2">
        <v>147</v>
      </c>
      <c r="E150" s="2">
        <f t="shared" si="26"/>
        <v>1085</v>
      </c>
      <c r="F150" s="2">
        <v>0</v>
      </c>
      <c r="G150" s="2">
        <v>-15</v>
      </c>
      <c r="H150" s="2">
        <f t="shared" si="28"/>
        <v>6</v>
      </c>
      <c r="I150" s="2">
        <v>2</v>
      </c>
      <c r="J150" s="2"/>
      <c r="M150" s="2">
        <v>147</v>
      </c>
      <c r="N150" s="2">
        <f t="shared" si="27"/>
        <v>1085</v>
      </c>
      <c r="O150" s="2">
        <v>0</v>
      </c>
      <c r="P150" s="2">
        <v>15</v>
      </c>
      <c r="Q150" s="2">
        <f t="shared" si="29"/>
        <v>6</v>
      </c>
      <c r="R150" s="2">
        <v>2</v>
      </c>
      <c r="S150" s="2"/>
    </row>
    <row r="151" spans="4:19" x14ac:dyDescent="0.3">
      <c r="D151" s="2">
        <v>148</v>
      </c>
      <c r="E151" s="2">
        <f>E150+6</f>
        <v>1091</v>
      </c>
      <c r="F151" s="2">
        <v>0</v>
      </c>
      <c r="G151" s="2">
        <v>-15</v>
      </c>
      <c r="H151" s="2">
        <f t="shared" si="28"/>
        <v>6</v>
      </c>
      <c r="I151" s="2">
        <v>5</v>
      </c>
      <c r="J151" s="2">
        <v>5</v>
      </c>
      <c r="M151" s="2">
        <v>148</v>
      </c>
      <c r="N151" s="2">
        <f>N150+6</f>
        <v>1091</v>
      </c>
      <c r="O151" s="2">
        <v>0</v>
      </c>
      <c r="P151" s="2">
        <v>15</v>
      </c>
      <c r="Q151" s="2">
        <f t="shared" si="29"/>
        <v>6</v>
      </c>
      <c r="R151" s="2">
        <v>5</v>
      </c>
      <c r="S151" s="2"/>
    </row>
    <row r="152" spans="4:19" x14ac:dyDescent="0.3">
      <c r="D152" s="2">
        <v>149</v>
      </c>
      <c r="E152" s="2">
        <f t="shared" ref="E152:E153" si="30">E151+6</f>
        <v>1097</v>
      </c>
      <c r="F152" s="2">
        <v>0</v>
      </c>
      <c r="G152" s="2">
        <v>-15</v>
      </c>
      <c r="H152" s="2">
        <f t="shared" si="28"/>
        <v>6</v>
      </c>
      <c r="I152" s="2">
        <v>3</v>
      </c>
      <c r="J152" s="2"/>
      <c r="M152" s="2">
        <v>149</v>
      </c>
      <c r="N152" s="2">
        <f t="shared" ref="N152:N153" si="31">N151+6</f>
        <v>1097</v>
      </c>
      <c r="O152" s="2">
        <v>0</v>
      </c>
      <c r="P152" s="2">
        <v>15</v>
      </c>
      <c r="Q152" s="2">
        <f t="shared" si="29"/>
        <v>6</v>
      </c>
      <c r="R152" s="2">
        <v>3</v>
      </c>
      <c r="S152" s="2"/>
    </row>
    <row r="153" spans="4:19" x14ac:dyDescent="0.3">
      <c r="D153" s="2">
        <v>150</v>
      </c>
      <c r="E153" s="2">
        <f t="shared" si="30"/>
        <v>1103</v>
      </c>
      <c r="F153" s="2">
        <v>0</v>
      </c>
      <c r="G153" s="2">
        <v>-15</v>
      </c>
      <c r="H153" s="2">
        <f t="shared" si="28"/>
        <v>7</v>
      </c>
      <c r="I153" s="2">
        <v>4</v>
      </c>
      <c r="J153" s="2"/>
      <c r="M153" s="2">
        <v>150</v>
      </c>
      <c r="N153" s="2">
        <f t="shared" si="31"/>
        <v>1103</v>
      </c>
      <c r="O153" s="2">
        <v>0</v>
      </c>
      <c r="P153" s="2">
        <v>15</v>
      </c>
      <c r="Q153" s="2">
        <f t="shared" si="29"/>
        <v>7</v>
      </c>
      <c r="R153" s="2">
        <v>4</v>
      </c>
      <c r="S153" s="2"/>
    </row>
    <row r="154" spans="4:19" x14ac:dyDescent="0.3">
      <c r="D154" s="2">
        <v>151</v>
      </c>
      <c r="E154" s="2">
        <f>E153+7</f>
        <v>1110</v>
      </c>
      <c r="F154" s="2">
        <v>0</v>
      </c>
      <c r="G154" s="2">
        <v>-15</v>
      </c>
      <c r="H154" s="2">
        <f t="shared" si="28"/>
        <v>8</v>
      </c>
      <c r="I154" s="2">
        <v>3</v>
      </c>
      <c r="J154" s="2"/>
      <c r="M154" s="2">
        <v>151</v>
      </c>
      <c r="N154" s="2">
        <f>N153+7</f>
        <v>1110</v>
      </c>
      <c r="O154" s="2">
        <v>0</v>
      </c>
      <c r="P154" s="2">
        <v>15</v>
      </c>
      <c r="Q154" s="2">
        <f t="shared" si="29"/>
        <v>8</v>
      </c>
      <c r="R154" s="2">
        <v>3</v>
      </c>
      <c r="S154" s="2"/>
    </row>
    <row r="155" spans="4:19" x14ac:dyDescent="0.3">
      <c r="D155" s="2">
        <v>152</v>
      </c>
      <c r="E155" s="2">
        <f>E154+8</f>
        <v>1118</v>
      </c>
      <c r="F155" s="2">
        <v>0</v>
      </c>
      <c r="G155" s="2">
        <v>-15</v>
      </c>
      <c r="H155" s="2">
        <f t="shared" si="28"/>
        <v>8</v>
      </c>
      <c r="I155" s="2">
        <v>5</v>
      </c>
      <c r="J155" s="2">
        <v>5</v>
      </c>
      <c r="M155" s="2">
        <v>152</v>
      </c>
      <c r="N155" s="2">
        <f>N154+8</f>
        <v>1118</v>
      </c>
      <c r="O155" s="2">
        <v>0</v>
      </c>
      <c r="P155" s="2">
        <v>15</v>
      </c>
      <c r="Q155" s="2">
        <f t="shared" si="29"/>
        <v>8</v>
      </c>
      <c r="R155" s="2">
        <v>5</v>
      </c>
      <c r="S155" s="2"/>
    </row>
    <row r="156" spans="4:19" x14ac:dyDescent="0.3">
      <c r="D156" s="2">
        <v>153</v>
      </c>
      <c r="E156" s="2">
        <f t="shared" ref="E156:E158" si="32">E155+8</f>
        <v>1126</v>
      </c>
      <c r="F156" s="2">
        <v>0</v>
      </c>
      <c r="G156" s="2">
        <v>-15</v>
      </c>
      <c r="H156" s="2">
        <f t="shared" si="28"/>
        <v>8</v>
      </c>
      <c r="I156" s="2">
        <v>3</v>
      </c>
      <c r="J156" s="2"/>
      <c r="M156" s="2">
        <v>153</v>
      </c>
      <c r="N156" s="2">
        <f t="shared" ref="N156:N158" si="33">N155+8</f>
        <v>1126</v>
      </c>
      <c r="O156" s="2">
        <v>0</v>
      </c>
      <c r="P156" s="2">
        <v>15</v>
      </c>
      <c r="Q156" s="2">
        <f t="shared" si="29"/>
        <v>8</v>
      </c>
      <c r="R156" s="2">
        <v>3</v>
      </c>
      <c r="S156" s="2"/>
    </row>
    <row r="157" spans="4:19" x14ac:dyDescent="0.3">
      <c r="D157" s="2">
        <v>154</v>
      </c>
      <c r="E157" s="2">
        <f t="shared" si="32"/>
        <v>1134</v>
      </c>
      <c r="F157" s="2">
        <v>0</v>
      </c>
      <c r="G157" s="2">
        <v>-15</v>
      </c>
      <c r="H157" s="2">
        <f t="shared" si="28"/>
        <v>8</v>
      </c>
      <c r="I157" s="2">
        <v>3</v>
      </c>
      <c r="J157" s="2"/>
      <c r="M157" s="2">
        <v>154</v>
      </c>
      <c r="N157" s="2">
        <f t="shared" si="33"/>
        <v>1134</v>
      </c>
      <c r="O157" s="2">
        <v>0</v>
      </c>
      <c r="P157" s="2">
        <v>15</v>
      </c>
      <c r="Q157" s="2">
        <f t="shared" si="29"/>
        <v>8</v>
      </c>
      <c r="R157" s="2">
        <v>3</v>
      </c>
      <c r="S157" s="2"/>
    </row>
    <row r="158" spans="4:19" x14ac:dyDescent="0.3">
      <c r="D158" s="2">
        <v>155</v>
      </c>
      <c r="E158" s="2">
        <f t="shared" si="32"/>
        <v>1142</v>
      </c>
      <c r="F158" s="2">
        <v>0</v>
      </c>
      <c r="G158" s="2">
        <v>-15</v>
      </c>
      <c r="H158" s="2">
        <f t="shared" si="28"/>
        <v>7</v>
      </c>
      <c r="I158" s="2">
        <v>3</v>
      </c>
      <c r="J158" s="2"/>
      <c r="M158" s="2">
        <v>155</v>
      </c>
      <c r="N158" s="2">
        <f t="shared" si="33"/>
        <v>1142</v>
      </c>
      <c r="O158" s="2">
        <v>0</v>
      </c>
      <c r="P158" s="2">
        <v>15</v>
      </c>
      <c r="Q158" s="2">
        <f t="shared" si="29"/>
        <v>7</v>
      </c>
      <c r="R158" s="2">
        <v>3</v>
      </c>
      <c r="S158" s="2"/>
    </row>
    <row r="159" spans="4:19" x14ac:dyDescent="0.3">
      <c r="D159" s="2">
        <v>156</v>
      </c>
      <c r="E159" s="2">
        <f>E158+7</f>
        <v>1149</v>
      </c>
      <c r="F159" s="2">
        <v>0</v>
      </c>
      <c r="G159" s="2">
        <v>-15</v>
      </c>
      <c r="H159" s="2">
        <f t="shared" si="28"/>
        <v>6</v>
      </c>
      <c r="I159" s="2">
        <v>4</v>
      </c>
      <c r="J159" s="2">
        <v>5</v>
      </c>
      <c r="M159" s="2">
        <v>156</v>
      </c>
      <c r="N159" s="2">
        <f>N158+7</f>
        <v>1149</v>
      </c>
      <c r="O159" s="2">
        <v>0</v>
      </c>
      <c r="P159" s="2">
        <v>15</v>
      </c>
      <c r="Q159" s="2">
        <f t="shared" si="29"/>
        <v>6</v>
      </c>
      <c r="R159" s="2">
        <v>4</v>
      </c>
      <c r="S159" s="2"/>
    </row>
    <row r="160" spans="4:19" x14ac:dyDescent="0.3">
      <c r="D160" s="2">
        <v>157</v>
      </c>
      <c r="E160" s="2">
        <f>E159+6</f>
        <v>1155</v>
      </c>
      <c r="F160" s="2">
        <v>0</v>
      </c>
      <c r="G160" s="2">
        <v>-15</v>
      </c>
      <c r="H160" s="2">
        <f t="shared" si="28"/>
        <v>6</v>
      </c>
      <c r="I160" s="2">
        <v>3</v>
      </c>
      <c r="J160" s="2"/>
      <c r="M160" s="2">
        <v>157</v>
      </c>
      <c r="N160" s="2">
        <f>N159+6</f>
        <v>1155</v>
      </c>
      <c r="O160" s="2">
        <v>0</v>
      </c>
      <c r="P160" s="2">
        <v>15</v>
      </c>
      <c r="Q160" s="2">
        <f t="shared" si="29"/>
        <v>6</v>
      </c>
      <c r="R160" s="2">
        <v>3</v>
      </c>
      <c r="S160" s="2"/>
    </row>
    <row r="161" spans="4:19" x14ac:dyDescent="0.3">
      <c r="D161" s="2">
        <v>158</v>
      </c>
      <c r="E161" s="2">
        <f t="shared" ref="E161:E162" si="34">E160+6</f>
        <v>1161</v>
      </c>
      <c r="F161" s="2">
        <v>0</v>
      </c>
      <c r="G161" s="2">
        <v>-15</v>
      </c>
      <c r="H161" s="2">
        <f t="shared" si="28"/>
        <v>6</v>
      </c>
      <c r="I161" s="2">
        <v>3</v>
      </c>
      <c r="J161" s="2"/>
      <c r="M161" s="2">
        <v>158</v>
      </c>
      <c r="N161" s="2">
        <f t="shared" ref="N161:N162" si="35">N160+6</f>
        <v>1161</v>
      </c>
      <c r="O161" s="2">
        <v>0</v>
      </c>
      <c r="P161" s="2">
        <v>15</v>
      </c>
      <c r="Q161" s="2">
        <f t="shared" si="29"/>
        <v>6</v>
      </c>
      <c r="R161" s="2">
        <v>3</v>
      </c>
      <c r="S161" s="2"/>
    </row>
    <row r="162" spans="4:19" x14ac:dyDescent="0.3">
      <c r="D162" s="2">
        <v>159</v>
      </c>
      <c r="E162" s="2">
        <f t="shared" si="34"/>
        <v>1167</v>
      </c>
      <c r="F162" s="2">
        <v>0</v>
      </c>
      <c r="G162" s="2">
        <v>-15</v>
      </c>
      <c r="H162" s="2">
        <f t="shared" si="28"/>
        <v>7.5</v>
      </c>
      <c r="I162" s="2">
        <v>2</v>
      </c>
      <c r="J162" s="2"/>
      <c r="M162" s="2">
        <v>159</v>
      </c>
      <c r="N162" s="2">
        <f t="shared" si="35"/>
        <v>1167</v>
      </c>
      <c r="O162" s="2">
        <v>0</v>
      </c>
      <c r="P162" s="2">
        <v>15</v>
      </c>
      <c r="Q162" s="2">
        <f t="shared" si="29"/>
        <v>7.5</v>
      </c>
      <c r="R162" s="2">
        <v>2</v>
      </c>
      <c r="S162" s="2"/>
    </row>
    <row r="163" spans="4:19" x14ac:dyDescent="0.3">
      <c r="D163" s="2">
        <v>160</v>
      </c>
      <c r="E163" s="2">
        <f>E162+7.5</f>
        <v>1174.5</v>
      </c>
      <c r="F163" s="2">
        <v>0</v>
      </c>
      <c r="G163" s="2">
        <v>-15</v>
      </c>
      <c r="H163" s="2">
        <f t="shared" si="28"/>
        <v>7.5</v>
      </c>
      <c r="I163" s="2">
        <v>5</v>
      </c>
      <c r="J163" s="2">
        <v>5</v>
      </c>
      <c r="M163" s="2">
        <v>160</v>
      </c>
      <c r="N163" s="2">
        <f>N162+7.5</f>
        <v>1174.5</v>
      </c>
      <c r="O163" s="2">
        <v>0</v>
      </c>
      <c r="P163" s="2">
        <v>15</v>
      </c>
      <c r="Q163" s="2">
        <f t="shared" si="29"/>
        <v>7.5</v>
      </c>
      <c r="R163" s="2">
        <v>5</v>
      </c>
      <c r="S163" s="2"/>
    </row>
    <row r="164" spans="4:19" x14ac:dyDescent="0.3">
      <c r="D164" s="2">
        <v>161</v>
      </c>
      <c r="E164" s="2">
        <f t="shared" ref="E164:E184" si="36">E163+7.5</f>
        <v>1182</v>
      </c>
      <c r="F164" s="2">
        <v>0</v>
      </c>
      <c r="G164" s="2">
        <v>-15</v>
      </c>
      <c r="H164" s="2">
        <f t="shared" si="28"/>
        <v>7.5</v>
      </c>
      <c r="I164" s="2">
        <v>2</v>
      </c>
      <c r="J164" s="2"/>
      <c r="M164" s="2">
        <v>161</v>
      </c>
      <c r="N164" s="2">
        <f t="shared" ref="N164:N184" si="37">N163+7.5</f>
        <v>1182</v>
      </c>
      <c r="O164" s="2">
        <v>0</v>
      </c>
      <c r="P164" s="2">
        <v>15</v>
      </c>
      <c r="Q164" s="2">
        <f t="shared" si="29"/>
        <v>7.5</v>
      </c>
      <c r="R164" s="2">
        <v>2</v>
      </c>
      <c r="S164" s="2"/>
    </row>
    <row r="165" spans="4:19" x14ac:dyDescent="0.3">
      <c r="D165" s="2">
        <v>162</v>
      </c>
      <c r="E165" s="2">
        <f t="shared" si="36"/>
        <v>1189.5</v>
      </c>
      <c r="F165" s="2">
        <v>0</v>
      </c>
      <c r="G165" s="2">
        <v>-15</v>
      </c>
      <c r="H165" s="2">
        <f t="shared" si="28"/>
        <v>7.5</v>
      </c>
      <c r="I165" s="2">
        <v>3</v>
      </c>
      <c r="J165" s="2"/>
      <c r="M165" s="2">
        <v>162</v>
      </c>
      <c r="N165" s="2">
        <f t="shared" si="37"/>
        <v>1189.5</v>
      </c>
      <c r="O165" s="2">
        <v>0</v>
      </c>
      <c r="P165" s="2">
        <v>15</v>
      </c>
      <c r="Q165" s="2">
        <f t="shared" si="29"/>
        <v>7.5</v>
      </c>
      <c r="R165" s="2">
        <v>3</v>
      </c>
      <c r="S165" s="2"/>
    </row>
    <row r="166" spans="4:19" x14ac:dyDescent="0.3">
      <c r="D166" s="2">
        <v>163</v>
      </c>
      <c r="E166" s="2">
        <f t="shared" si="36"/>
        <v>1197</v>
      </c>
      <c r="F166" s="2">
        <v>0</v>
      </c>
      <c r="G166" s="2">
        <v>-15</v>
      </c>
      <c r="H166" s="2">
        <f t="shared" si="28"/>
        <v>7.5</v>
      </c>
      <c r="I166" s="2">
        <v>2</v>
      </c>
      <c r="J166" s="2"/>
      <c r="M166" s="2">
        <v>163</v>
      </c>
      <c r="N166" s="2">
        <f t="shared" si="37"/>
        <v>1197</v>
      </c>
      <c r="O166" s="2">
        <v>0</v>
      </c>
      <c r="P166" s="2">
        <v>15</v>
      </c>
      <c r="Q166" s="2">
        <f t="shared" si="29"/>
        <v>7.5</v>
      </c>
      <c r="R166" s="2">
        <v>2</v>
      </c>
      <c r="S166" s="2"/>
    </row>
    <row r="167" spans="4:19" x14ac:dyDescent="0.3">
      <c r="D167" s="2">
        <v>164</v>
      </c>
      <c r="E167" s="2">
        <f t="shared" si="36"/>
        <v>1204.5</v>
      </c>
      <c r="F167" s="2">
        <v>0</v>
      </c>
      <c r="G167" s="2">
        <v>-15</v>
      </c>
      <c r="H167" s="2">
        <f t="shared" si="28"/>
        <v>7.5</v>
      </c>
      <c r="I167" s="2">
        <v>5</v>
      </c>
      <c r="J167" s="2">
        <v>5</v>
      </c>
      <c r="M167" s="2">
        <v>164</v>
      </c>
      <c r="N167" s="2">
        <f t="shared" si="37"/>
        <v>1204.5</v>
      </c>
      <c r="O167" s="2">
        <v>0</v>
      </c>
      <c r="P167" s="2">
        <v>15</v>
      </c>
      <c r="Q167" s="2">
        <f t="shared" si="29"/>
        <v>7.5</v>
      </c>
      <c r="R167" s="2">
        <v>5</v>
      </c>
      <c r="S167" s="2"/>
    </row>
    <row r="168" spans="4:19" x14ac:dyDescent="0.3">
      <c r="D168" s="2">
        <v>165</v>
      </c>
      <c r="E168" s="2">
        <f t="shared" si="36"/>
        <v>1212</v>
      </c>
      <c r="F168" s="2">
        <v>0</v>
      </c>
      <c r="G168" s="2">
        <v>-15</v>
      </c>
      <c r="H168" s="2">
        <f t="shared" si="28"/>
        <v>7.5</v>
      </c>
      <c r="I168" s="2">
        <v>2</v>
      </c>
      <c r="J168" s="2"/>
      <c r="M168" s="2">
        <v>165</v>
      </c>
      <c r="N168" s="2">
        <f t="shared" si="37"/>
        <v>1212</v>
      </c>
      <c r="O168" s="2">
        <v>0</v>
      </c>
      <c r="P168" s="2">
        <v>15</v>
      </c>
      <c r="Q168" s="2">
        <f t="shared" si="29"/>
        <v>7.5</v>
      </c>
      <c r="R168" s="2">
        <v>2</v>
      </c>
      <c r="S168" s="2"/>
    </row>
    <row r="169" spans="4:19" x14ac:dyDescent="0.3">
      <c r="D169" s="2">
        <v>166</v>
      </c>
      <c r="E169" s="2">
        <f t="shared" si="36"/>
        <v>1219.5</v>
      </c>
      <c r="F169" s="2">
        <v>0</v>
      </c>
      <c r="G169" s="2">
        <v>-15</v>
      </c>
      <c r="H169" s="2">
        <f t="shared" si="28"/>
        <v>7.5</v>
      </c>
      <c r="I169" s="2">
        <v>3</v>
      </c>
      <c r="J169" s="2"/>
      <c r="M169" s="2">
        <v>166</v>
      </c>
      <c r="N169" s="2">
        <f t="shared" si="37"/>
        <v>1219.5</v>
      </c>
      <c r="O169" s="2">
        <v>0</v>
      </c>
      <c r="P169" s="2">
        <v>15</v>
      </c>
      <c r="Q169" s="2">
        <f t="shared" si="29"/>
        <v>7.5</v>
      </c>
      <c r="R169" s="2">
        <v>3</v>
      </c>
      <c r="S169" s="2"/>
    </row>
    <row r="170" spans="4:19" x14ac:dyDescent="0.3">
      <c r="D170" s="2">
        <v>167</v>
      </c>
      <c r="E170" s="2">
        <f t="shared" si="36"/>
        <v>1227</v>
      </c>
      <c r="F170" s="2">
        <v>0</v>
      </c>
      <c r="G170" s="2">
        <v>-15</v>
      </c>
      <c r="H170" s="2">
        <f t="shared" si="28"/>
        <v>7.5</v>
      </c>
      <c r="I170" s="2">
        <v>2</v>
      </c>
      <c r="J170" s="2"/>
      <c r="M170" s="2">
        <v>167</v>
      </c>
      <c r="N170" s="2">
        <f t="shared" si="37"/>
        <v>1227</v>
      </c>
      <c r="O170" s="2">
        <v>0</v>
      </c>
      <c r="P170" s="2">
        <v>15</v>
      </c>
      <c r="Q170" s="2">
        <f t="shared" si="29"/>
        <v>7.5</v>
      </c>
      <c r="R170" s="2">
        <v>2</v>
      </c>
      <c r="S170" s="2"/>
    </row>
    <row r="171" spans="4:19" x14ac:dyDescent="0.3">
      <c r="D171" s="2">
        <v>168</v>
      </c>
      <c r="E171" s="2">
        <f t="shared" si="36"/>
        <v>1234.5</v>
      </c>
      <c r="F171" s="2">
        <v>0</v>
      </c>
      <c r="G171" s="2">
        <v>-15</v>
      </c>
      <c r="H171" s="2">
        <f t="shared" si="28"/>
        <v>7.5</v>
      </c>
      <c r="I171" s="2">
        <v>5</v>
      </c>
      <c r="J171" s="2">
        <v>5</v>
      </c>
      <c r="M171" s="2">
        <v>168</v>
      </c>
      <c r="N171" s="2">
        <f t="shared" si="37"/>
        <v>1234.5</v>
      </c>
      <c r="O171" s="2">
        <v>0</v>
      </c>
      <c r="P171" s="2">
        <v>15</v>
      </c>
      <c r="Q171" s="2">
        <f t="shared" si="29"/>
        <v>7.5</v>
      </c>
      <c r="R171" s="2">
        <v>5</v>
      </c>
      <c r="S171" s="2"/>
    </row>
    <row r="172" spans="4:19" x14ac:dyDescent="0.3">
      <c r="D172" s="2">
        <v>169</v>
      </c>
      <c r="E172" s="2">
        <f t="shared" si="36"/>
        <v>1242</v>
      </c>
      <c r="F172" s="2">
        <v>0</v>
      </c>
      <c r="G172" s="2">
        <v>-15</v>
      </c>
      <c r="H172" s="2">
        <f t="shared" si="28"/>
        <v>7.5</v>
      </c>
      <c r="I172" s="2">
        <v>2</v>
      </c>
      <c r="J172" s="2"/>
      <c r="M172" s="2">
        <v>169</v>
      </c>
      <c r="N172" s="2">
        <f t="shared" si="37"/>
        <v>1242</v>
      </c>
      <c r="O172" s="2">
        <v>0</v>
      </c>
      <c r="P172" s="2">
        <v>15</v>
      </c>
      <c r="Q172" s="2">
        <f t="shared" si="29"/>
        <v>7.5</v>
      </c>
      <c r="R172" s="2">
        <v>2</v>
      </c>
      <c r="S172" s="2"/>
    </row>
    <row r="173" spans="4:19" x14ac:dyDescent="0.3">
      <c r="D173" s="2">
        <v>170</v>
      </c>
      <c r="E173" s="2">
        <f t="shared" si="36"/>
        <v>1249.5</v>
      </c>
      <c r="F173" s="2">
        <v>0</v>
      </c>
      <c r="G173" s="2">
        <v>-15</v>
      </c>
      <c r="H173" s="2">
        <f t="shared" si="28"/>
        <v>7.5</v>
      </c>
      <c r="I173" s="2">
        <v>3</v>
      </c>
      <c r="J173" s="2"/>
      <c r="M173" s="2">
        <v>170</v>
      </c>
      <c r="N173" s="2">
        <f t="shared" si="37"/>
        <v>1249.5</v>
      </c>
      <c r="O173" s="2">
        <v>0</v>
      </c>
      <c r="P173" s="2">
        <v>15</v>
      </c>
      <c r="Q173" s="2">
        <f t="shared" si="29"/>
        <v>7.5</v>
      </c>
      <c r="R173" s="2">
        <v>3</v>
      </c>
      <c r="S173" s="2"/>
    </row>
    <row r="174" spans="4:19" x14ac:dyDescent="0.3">
      <c r="D174" s="2">
        <v>171</v>
      </c>
      <c r="E174" s="2">
        <f t="shared" si="36"/>
        <v>1257</v>
      </c>
      <c r="F174" s="2">
        <v>0</v>
      </c>
      <c r="G174" s="2">
        <v>-15</v>
      </c>
      <c r="H174" s="2">
        <f t="shared" si="28"/>
        <v>7.5</v>
      </c>
      <c r="I174" s="2">
        <v>2</v>
      </c>
      <c r="J174" s="2"/>
      <c r="M174" s="2">
        <v>171</v>
      </c>
      <c r="N174" s="2">
        <f t="shared" si="37"/>
        <v>1257</v>
      </c>
      <c r="O174" s="2">
        <v>0</v>
      </c>
      <c r="P174" s="2">
        <v>15</v>
      </c>
      <c r="Q174" s="2">
        <f t="shared" si="29"/>
        <v>7.5</v>
      </c>
      <c r="R174" s="2">
        <v>2</v>
      </c>
      <c r="S174" s="2"/>
    </row>
    <row r="175" spans="4:19" x14ac:dyDescent="0.3">
      <c r="D175" s="2">
        <v>172</v>
      </c>
      <c r="E175" s="2">
        <f t="shared" si="36"/>
        <v>1264.5</v>
      </c>
      <c r="F175" s="2">
        <v>0</v>
      </c>
      <c r="G175" s="2">
        <v>-15</v>
      </c>
      <c r="H175" s="2">
        <f t="shared" si="28"/>
        <v>7.5</v>
      </c>
      <c r="I175" s="2">
        <v>5</v>
      </c>
      <c r="J175" s="2">
        <v>5</v>
      </c>
      <c r="M175" s="2">
        <v>172</v>
      </c>
      <c r="N175" s="2">
        <f t="shared" si="37"/>
        <v>1264.5</v>
      </c>
      <c r="O175" s="2">
        <v>0</v>
      </c>
      <c r="P175" s="2">
        <v>15</v>
      </c>
      <c r="Q175" s="2">
        <f t="shared" si="29"/>
        <v>7.5</v>
      </c>
      <c r="R175" s="2">
        <v>5</v>
      </c>
      <c r="S175" s="2"/>
    </row>
    <row r="176" spans="4:19" x14ac:dyDescent="0.3">
      <c r="D176" s="2">
        <v>173</v>
      </c>
      <c r="E176" s="2">
        <f t="shared" si="36"/>
        <v>1272</v>
      </c>
      <c r="F176" s="2">
        <v>0</v>
      </c>
      <c r="G176" s="2">
        <v>-15</v>
      </c>
      <c r="H176" s="2">
        <f t="shared" si="28"/>
        <v>7.5</v>
      </c>
      <c r="I176" s="2">
        <v>2</v>
      </c>
      <c r="J176" s="2"/>
      <c r="M176" s="2">
        <v>173</v>
      </c>
      <c r="N176" s="2">
        <f t="shared" si="37"/>
        <v>1272</v>
      </c>
      <c r="O176" s="2">
        <v>0</v>
      </c>
      <c r="P176" s="2">
        <v>15</v>
      </c>
      <c r="Q176" s="2">
        <f t="shared" si="29"/>
        <v>7.5</v>
      </c>
      <c r="R176" s="2">
        <v>2</v>
      </c>
      <c r="S176" s="2"/>
    </row>
    <row r="177" spans="4:19" x14ac:dyDescent="0.3">
      <c r="D177" s="2">
        <v>174</v>
      </c>
      <c r="E177" s="2">
        <f t="shared" si="36"/>
        <v>1279.5</v>
      </c>
      <c r="F177" s="2">
        <v>0</v>
      </c>
      <c r="G177" s="2">
        <v>-15</v>
      </c>
      <c r="H177" s="2">
        <f t="shared" si="28"/>
        <v>7.5</v>
      </c>
      <c r="I177" s="2">
        <v>3</v>
      </c>
      <c r="J177" s="2"/>
      <c r="M177" s="2">
        <v>174</v>
      </c>
      <c r="N177" s="2">
        <f t="shared" si="37"/>
        <v>1279.5</v>
      </c>
      <c r="O177" s="2">
        <v>0</v>
      </c>
      <c r="P177" s="2">
        <v>15</v>
      </c>
      <c r="Q177" s="2">
        <f t="shared" si="29"/>
        <v>7.5</v>
      </c>
      <c r="R177" s="2">
        <v>3</v>
      </c>
      <c r="S177" s="2"/>
    </row>
    <row r="178" spans="4:19" x14ac:dyDescent="0.3">
      <c r="D178" s="2">
        <v>175</v>
      </c>
      <c r="E178" s="2">
        <f t="shared" si="36"/>
        <v>1287</v>
      </c>
      <c r="F178" s="2">
        <v>0</v>
      </c>
      <c r="G178" s="2">
        <v>-15</v>
      </c>
      <c r="H178" s="2">
        <f t="shared" si="28"/>
        <v>7.5</v>
      </c>
      <c r="I178" s="2">
        <v>2</v>
      </c>
      <c r="J178" s="2"/>
      <c r="M178" s="2">
        <v>175</v>
      </c>
      <c r="N178" s="2">
        <f t="shared" si="37"/>
        <v>1287</v>
      </c>
      <c r="O178" s="2">
        <v>0</v>
      </c>
      <c r="P178" s="2">
        <v>15</v>
      </c>
      <c r="Q178" s="2">
        <f t="shared" si="29"/>
        <v>7.5</v>
      </c>
      <c r="R178" s="2">
        <v>2</v>
      </c>
      <c r="S178" s="2"/>
    </row>
    <row r="179" spans="4:19" x14ac:dyDescent="0.3">
      <c r="D179" s="2">
        <v>176</v>
      </c>
      <c r="E179" s="2">
        <f t="shared" si="36"/>
        <v>1294.5</v>
      </c>
      <c r="F179" s="2">
        <v>0</v>
      </c>
      <c r="G179" s="2">
        <v>-15</v>
      </c>
      <c r="H179" s="2">
        <f t="shared" si="28"/>
        <v>7.5</v>
      </c>
      <c r="I179" s="2">
        <v>5</v>
      </c>
      <c r="J179" s="2">
        <v>5</v>
      </c>
      <c r="M179" s="2">
        <v>176</v>
      </c>
      <c r="N179" s="2">
        <f t="shared" si="37"/>
        <v>1294.5</v>
      </c>
      <c r="O179" s="2">
        <v>0</v>
      </c>
      <c r="P179" s="2">
        <v>15</v>
      </c>
      <c r="Q179" s="2">
        <f t="shared" si="29"/>
        <v>7.5</v>
      </c>
      <c r="R179" s="2">
        <v>5</v>
      </c>
      <c r="S179" s="2"/>
    </row>
    <row r="180" spans="4:19" x14ac:dyDescent="0.3">
      <c r="D180" s="2">
        <v>177</v>
      </c>
      <c r="E180" s="2">
        <f t="shared" si="36"/>
        <v>1302</v>
      </c>
      <c r="F180" s="2">
        <v>0</v>
      </c>
      <c r="G180" s="2">
        <v>-15</v>
      </c>
      <c r="H180" s="2">
        <f t="shared" si="28"/>
        <v>7.5</v>
      </c>
      <c r="I180" s="2">
        <v>2</v>
      </c>
      <c r="J180" s="2"/>
      <c r="M180" s="2">
        <v>177</v>
      </c>
      <c r="N180" s="2">
        <f t="shared" si="37"/>
        <v>1302</v>
      </c>
      <c r="O180" s="2">
        <v>0</v>
      </c>
      <c r="P180" s="2">
        <v>15</v>
      </c>
      <c r="Q180" s="2">
        <f t="shared" si="29"/>
        <v>7.5</v>
      </c>
      <c r="R180" s="2">
        <v>2</v>
      </c>
      <c r="S180" s="2"/>
    </row>
    <row r="181" spans="4:19" x14ac:dyDescent="0.3">
      <c r="D181" s="2">
        <v>178</v>
      </c>
      <c r="E181" s="2">
        <f t="shared" si="36"/>
        <v>1309.5</v>
      </c>
      <c r="F181" s="2">
        <v>0</v>
      </c>
      <c r="G181" s="2">
        <v>-15</v>
      </c>
      <c r="H181" s="2">
        <f t="shared" si="28"/>
        <v>7.5</v>
      </c>
      <c r="I181" s="2">
        <v>3</v>
      </c>
      <c r="J181" s="2"/>
      <c r="M181" s="2">
        <v>178</v>
      </c>
      <c r="N181" s="2">
        <f t="shared" si="37"/>
        <v>1309.5</v>
      </c>
      <c r="O181" s="2">
        <v>0</v>
      </c>
      <c r="P181" s="2">
        <v>15</v>
      </c>
      <c r="Q181" s="2">
        <f t="shared" si="29"/>
        <v>7.5</v>
      </c>
      <c r="R181" s="2">
        <v>3</v>
      </c>
      <c r="S181" s="2"/>
    </row>
    <row r="182" spans="4:19" x14ac:dyDescent="0.3">
      <c r="D182" s="2">
        <v>179</v>
      </c>
      <c r="E182" s="2">
        <f t="shared" si="36"/>
        <v>1317</v>
      </c>
      <c r="F182" s="2">
        <v>0</v>
      </c>
      <c r="G182" s="2">
        <v>-15</v>
      </c>
      <c r="H182" s="2">
        <f t="shared" si="28"/>
        <v>7.5</v>
      </c>
      <c r="I182" s="2">
        <v>2</v>
      </c>
      <c r="J182" s="2"/>
      <c r="M182" s="2">
        <v>179</v>
      </c>
      <c r="N182" s="2">
        <f t="shared" si="37"/>
        <v>1317</v>
      </c>
      <c r="O182" s="2">
        <v>0</v>
      </c>
      <c r="P182" s="2">
        <v>15</v>
      </c>
      <c r="Q182" s="2">
        <f t="shared" si="29"/>
        <v>7.5</v>
      </c>
      <c r="R182" s="2">
        <v>2</v>
      </c>
      <c r="S182" s="2"/>
    </row>
    <row r="183" spans="4:19" x14ac:dyDescent="0.3">
      <c r="D183" s="2">
        <v>180</v>
      </c>
      <c r="E183" s="2">
        <f t="shared" si="36"/>
        <v>1324.5</v>
      </c>
      <c r="F183" s="2">
        <v>0</v>
      </c>
      <c r="G183" s="2">
        <v>-15</v>
      </c>
      <c r="H183" s="2">
        <f t="shared" si="28"/>
        <v>7.5</v>
      </c>
      <c r="I183" s="2">
        <v>5</v>
      </c>
      <c r="J183" s="2">
        <v>5</v>
      </c>
      <c r="M183" s="2">
        <v>180</v>
      </c>
      <c r="N183" s="2">
        <f t="shared" si="37"/>
        <v>1324.5</v>
      </c>
      <c r="O183" s="2">
        <v>0</v>
      </c>
      <c r="P183" s="2">
        <v>15</v>
      </c>
      <c r="Q183" s="2">
        <f t="shared" si="29"/>
        <v>7.5</v>
      </c>
      <c r="R183" s="2">
        <v>5</v>
      </c>
      <c r="S183" s="2"/>
    </row>
    <row r="184" spans="4:19" x14ac:dyDescent="0.3">
      <c r="D184" s="2">
        <v>181</v>
      </c>
      <c r="E184" s="2">
        <f t="shared" si="36"/>
        <v>1332</v>
      </c>
      <c r="F184" s="2">
        <v>0</v>
      </c>
      <c r="G184" s="2">
        <v>-15</v>
      </c>
      <c r="H184" s="2">
        <f t="shared" si="28"/>
        <v>8</v>
      </c>
      <c r="I184" s="2">
        <v>2</v>
      </c>
      <c r="J184" s="2"/>
      <c r="M184" s="2">
        <v>181</v>
      </c>
      <c r="N184" s="2">
        <f t="shared" si="37"/>
        <v>1332</v>
      </c>
      <c r="O184" s="2">
        <v>0</v>
      </c>
      <c r="P184" s="2">
        <v>15</v>
      </c>
      <c r="Q184" s="2">
        <f t="shared" si="29"/>
        <v>8</v>
      </c>
      <c r="R184" s="2">
        <v>2</v>
      </c>
      <c r="S184" s="2"/>
    </row>
    <row r="185" spans="4:19" x14ac:dyDescent="0.3">
      <c r="D185" s="2">
        <v>182</v>
      </c>
      <c r="E185" s="2">
        <f>E184+8</f>
        <v>1340</v>
      </c>
      <c r="F185" s="2">
        <v>0</v>
      </c>
      <c r="G185" s="2">
        <v>-15</v>
      </c>
      <c r="H185" s="2">
        <f t="shared" si="28"/>
        <v>8</v>
      </c>
      <c r="I185" s="2">
        <v>3</v>
      </c>
      <c r="J185" s="2"/>
      <c r="M185" s="2">
        <v>182</v>
      </c>
      <c r="N185" s="2">
        <f>N184+8</f>
        <v>1340</v>
      </c>
      <c r="O185" s="2">
        <v>0</v>
      </c>
      <c r="P185" s="2">
        <v>15</v>
      </c>
      <c r="Q185" s="2">
        <f t="shared" si="29"/>
        <v>8</v>
      </c>
      <c r="R185" s="2">
        <v>3</v>
      </c>
      <c r="S185" s="2"/>
    </row>
    <row r="186" spans="4:19" x14ac:dyDescent="0.3">
      <c r="D186" s="2">
        <v>183</v>
      </c>
      <c r="E186" s="2">
        <f>E185+8</f>
        <v>1348</v>
      </c>
      <c r="F186" s="2">
        <v>0</v>
      </c>
      <c r="G186" s="2">
        <v>-15</v>
      </c>
      <c r="H186" s="2">
        <f t="shared" si="28"/>
        <v>7.5</v>
      </c>
      <c r="I186" s="2">
        <v>2</v>
      </c>
      <c r="J186" s="2"/>
      <c r="M186" s="2">
        <v>183</v>
      </c>
      <c r="N186" s="2">
        <f>N185+8</f>
        <v>1348</v>
      </c>
      <c r="O186" s="2">
        <v>0</v>
      </c>
      <c r="P186" s="2">
        <v>15</v>
      </c>
      <c r="Q186" s="2">
        <f t="shared" si="29"/>
        <v>7.5</v>
      </c>
      <c r="R186" s="2">
        <v>2</v>
      </c>
      <c r="S186" s="2"/>
    </row>
    <row r="187" spans="4:19" x14ac:dyDescent="0.3">
      <c r="D187" s="2">
        <v>184</v>
      </c>
      <c r="E187" s="2">
        <f>E186+7.5</f>
        <v>1355.5</v>
      </c>
      <c r="F187" s="2">
        <v>0</v>
      </c>
      <c r="G187" s="2">
        <v>-15</v>
      </c>
      <c r="H187" s="2">
        <f t="shared" si="28"/>
        <v>7.5</v>
      </c>
      <c r="I187" s="2">
        <v>5</v>
      </c>
      <c r="J187" s="2">
        <v>5</v>
      </c>
      <c r="M187" s="2">
        <v>184</v>
      </c>
      <c r="N187" s="2">
        <f>N186+7.5</f>
        <v>1355.5</v>
      </c>
      <c r="O187" s="2">
        <v>0</v>
      </c>
      <c r="P187" s="2">
        <v>15</v>
      </c>
      <c r="Q187" s="2">
        <f t="shared" si="29"/>
        <v>7.5</v>
      </c>
      <c r="R187" s="2">
        <v>5</v>
      </c>
      <c r="S187" s="2"/>
    </row>
    <row r="188" spans="4:19" x14ac:dyDescent="0.3">
      <c r="D188" s="2">
        <v>185</v>
      </c>
      <c r="E188" s="2">
        <f t="shared" ref="E188:E208" si="38">E187+7.5</f>
        <v>1363</v>
      </c>
      <c r="F188" s="2">
        <v>0</v>
      </c>
      <c r="G188" s="2">
        <v>-15</v>
      </c>
      <c r="H188" s="2">
        <f t="shared" si="28"/>
        <v>7.5</v>
      </c>
      <c r="I188" s="2">
        <v>2</v>
      </c>
      <c r="J188" s="2"/>
      <c r="M188" s="2">
        <v>185</v>
      </c>
      <c r="N188" s="2">
        <f t="shared" ref="N188:N208" si="39">N187+7.5</f>
        <v>1363</v>
      </c>
      <c r="O188" s="2">
        <v>0</v>
      </c>
      <c r="P188" s="2">
        <v>15</v>
      </c>
      <c r="Q188" s="2">
        <f t="shared" si="29"/>
        <v>7.5</v>
      </c>
      <c r="R188" s="2">
        <v>2</v>
      </c>
      <c r="S188" s="2"/>
    </row>
    <row r="189" spans="4:19" x14ac:dyDescent="0.3">
      <c r="D189" s="2">
        <v>186</v>
      </c>
      <c r="E189" s="2">
        <f t="shared" si="38"/>
        <v>1370.5</v>
      </c>
      <c r="F189" s="2">
        <v>0</v>
      </c>
      <c r="G189" s="2">
        <v>-15</v>
      </c>
      <c r="H189" s="2">
        <f t="shared" si="28"/>
        <v>7.5</v>
      </c>
      <c r="I189" s="2">
        <v>3</v>
      </c>
      <c r="J189" s="2"/>
      <c r="M189" s="2">
        <v>186</v>
      </c>
      <c r="N189" s="2">
        <f t="shared" si="39"/>
        <v>1370.5</v>
      </c>
      <c r="O189" s="2">
        <v>0</v>
      </c>
      <c r="P189" s="2">
        <v>15</v>
      </c>
      <c r="Q189" s="2">
        <f t="shared" si="29"/>
        <v>7.5</v>
      </c>
      <c r="R189" s="2">
        <v>3</v>
      </c>
      <c r="S189" s="2"/>
    </row>
    <row r="190" spans="4:19" x14ac:dyDescent="0.3">
      <c r="D190" s="2">
        <v>187</v>
      </c>
      <c r="E190" s="2">
        <f t="shared" si="38"/>
        <v>1378</v>
      </c>
      <c r="F190" s="2">
        <v>0</v>
      </c>
      <c r="G190" s="2">
        <v>-15</v>
      </c>
      <c r="H190" s="2">
        <f t="shared" si="28"/>
        <v>7.5</v>
      </c>
      <c r="I190" s="2">
        <v>2</v>
      </c>
      <c r="J190" s="2"/>
      <c r="M190" s="2">
        <v>187</v>
      </c>
      <c r="N190" s="2">
        <f t="shared" si="39"/>
        <v>1378</v>
      </c>
      <c r="O190" s="2">
        <v>0</v>
      </c>
      <c r="P190" s="2">
        <v>15</v>
      </c>
      <c r="Q190" s="2">
        <f t="shared" si="29"/>
        <v>7.5</v>
      </c>
      <c r="R190" s="2">
        <v>2</v>
      </c>
      <c r="S190" s="2"/>
    </row>
    <row r="191" spans="4:19" x14ac:dyDescent="0.3">
      <c r="D191" s="2">
        <v>188</v>
      </c>
      <c r="E191" s="2">
        <f t="shared" si="38"/>
        <v>1385.5</v>
      </c>
      <c r="F191" s="2">
        <v>0</v>
      </c>
      <c r="G191" s="2">
        <v>-15</v>
      </c>
      <c r="H191" s="2">
        <f t="shared" si="28"/>
        <v>7.5</v>
      </c>
      <c r="I191" s="2">
        <v>5</v>
      </c>
      <c r="J191" s="2">
        <v>5</v>
      </c>
      <c r="M191" s="2">
        <v>188</v>
      </c>
      <c r="N191" s="2">
        <f t="shared" si="39"/>
        <v>1385.5</v>
      </c>
      <c r="O191" s="2">
        <v>0</v>
      </c>
      <c r="P191" s="2">
        <v>15</v>
      </c>
      <c r="Q191" s="2">
        <f t="shared" si="29"/>
        <v>7.5</v>
      </c>
      <c r="R191" s="2">
        <v>5</v>
      </c>
      <c r="S191" s="2"/>
    </row>
    <row r="192" spans="4:19" x14ac:dyDescent="0.3">
      <c r="D192" s="2">
        <v>189</v>
      </c>
      <c r="E192" s="2">
        <f t="shared" si="38"/>
        <v>1393</v>
      </c>
      <c r="F192" s="2">
        <v>0</v>
      </c>
      <c r="G192" s="2">
        <v>-15</v>
      </c>
      <c r="H192" s="2">
        <f t="shared" si="28"/>
        <v>7.5</v>
      </c>
      <c r="I192" s="2">
        <v>2</v>
      </c>
      <c r="J192" s="2"/>
      <c r="M192" s="2">
        <v>189</v>
      </c>
      <c r="N192" s="2">
        <f t="shared" si="39"/>
        <v>1393</v>
      </c>
      <c r="O192" s="2">
        <v>0</v>
      </c>
      <c r="P192" s="2">
        <v>15</v>
      </c>
      <c r="Q192" s="2">
        <f t="shared" si="29"/>
        <v>7.5</v>
      </c>
      <c r="R192" s="2">
        <v>2</v>
      </c>
      <c r="S192" s="2"/>
    </row>
    <row r="193" spans="4:19" x14ac:dyDescent="0.3">
      <c r="D193" s="2">
        <v>190</v>
      </c>
      <c r="E193" s="2">
        <f t="shared" si="38"/>
        <v>1400.5</v>
      </c>
      <c r="F193" s="2">
        <v>0</v>
      </c>
      <c r="G193" s="2">
        <v>-15</v>
      </c>
      <c r="H193" s="2">
        <f t="shared" si="28"/>
        <v>7.5</v>
      </c>
      <c r="I193" s="2">
        <v>3</v>
      </c>
      <c r="J193" s="2"/>
      <c r="M193" s="2">
        <v>190</v>
      </c>
      <c r="N193" s="2">
        <f t="shared" si="39"/>
        <v>1400.5</v>
      </c>
      <c r="O193" s="2">
        <v>0</v>
      </c>
      <c r="P193" s="2">
        <v>15</v>
      </c>
      <c r="Q193" s="2">
        <f t="shared" si="29"/>
        <v>7.5</v>
      </c>
      <c r="R193" s="2">
        <v>3</v>
      </c>
      <c r="S193" s="2"/>
    </row>
    <row r="194" spans="4:19" x14ac:dyDescent="0.3">
      <c r="D194" s="2">
        <v>191</v>
      </c>
      <c r="E194" s="2">
        <f t="shared" si="38"/>
        <v>1408</v>
      </c>
      <c r="F194" s="2">
        <v>0</v>
      </c>
      <c r="G194" s="2">
        <v>-15</v>
      </c>
      <c r="H194" s="2">
        <f t="shared" si="28"/>
        <v>7.5</v>
      </c>
      <c r="I194" s="2">
        <v>2</v>
      </c>
      <c r="J194" s="2"/>
      <c r="M194" s="2">
        <v>191</v>
      </c>
      <c r="N194" s="2">
        <f t="shared" si="39"/>
        <v>1408</v>
      </c>
      <c r="O194" s="2">
        <v>0</v>
      </c>
      <c r="P194" s="2">
        <v>15</v>
      </c>
      <c r="Q194" s="2">
        <f t="shared" si="29"/>
        <v>7.5</v>
      </c>
      <c r="R194" s="2">
        <v>2</v>
      </c>
      <c r="S194" s="2"/>
    </row>
    <row r="195" spans="4:19" x14ac:dyDescent="0.3">
      <c r="D195" s="2">
        <v>192</v>
      </c>
      <c r="E195" s="2">
        <f t="shared" si="38"/>
        <v>1415.5</v>
      </c>
      <c r="F195" s="2">
        <v>0</v>
      </c>
      <c r="G195" s="2">
        <v>-15</v>
      </c>
      <c r="H195" s="2">
        <f t="shared" si="28"/>
        <v>7.5</v>
      </c>
      <c r="I195" s="2">
        <v>5</v>
      </c>
      <c r="J195" s="2">
        <v>5</v>
      </c>
      <c r="M195" s="2">
        <v>192</v>
      </c>
      <c r="N195" s="2">
        <f t="shared" si="39"/>
        <v>1415.5</v>
      </c>
      <c r="O195" s="2">
        <v>0</v>
      </c>
      <c r="P195" s="2">
        <v>15</v>
      </c>
      <c r="Q195" s="2">
        <f t="shared" si="29"/>
        <v>7.5</v>
      </c>
      <c r="R195" s="2">
        <v>5</v>
      </c>
      <c r="S195" s="2"/>
    </row>
    <row r="196" spans="4:19" x14ac:dyDescent="0.3">
      <c r="D196" s="2">
        <v>193</v>
      </c>
      <c r="E196" s="2">
        <f t="shared" si="38"/>
        <v>1423</v>
      </c>
      <c r="F196" s="2">
        <v>0</v>
      </c>
      <c r="G196" s="2">
        <v>-15</v>
      </c>
      <c r="H196" s="2">
        <f t="shared" si="28"/>
        <v>7.5</v>
      </c>
      <c r="I196" s="2">
        <v>2</v>
      </c>
      <c r="J196" s="2"/>
      <c r="M196" s="2">
        <v>193</v>
      </c>
      <c r="N196" s="2">
        <f t="shared" si="39"/>
        <v>1423</v>
      </c>
      <c r="O196" s="2">
        <v>0</v>
      </c>
      <c r="P196" s="2">
        <v>15</v>
      </c>
      <c r="Q196" s="2">
        <f t="shared" si="29"/>
        <v>7.5</v>
      </c>
      <c r="R196" s="2">
        <v>2</v>
      </c>
      <c r="S196" s="2"/>
    </row>
    <row r="197" spans="4:19" x14ac:dyDescent="0.3">
      <c r="D197" s="2">
        <v>194</v>
      </c>
      <c r="E197" s="2">
        <f t="shared" si="38"/>
        <v>1430.5</v>
      </c>
      <c r="F197" s="2">
        <v>0</v>
      </c>
      <c r="G197" s="2">
        <v>-15</v>
      </c>
      <c r="H197" s="2">
        <f t="shared" ref="H197:H260" si="40">SQRT((E198-E197)^2+(F198-F197)^2+(G198-G197)^2)</f>
        <v>7.5</v>
      </c>
      <c r="I197" s="2">
        <v>3</v>
      </c>
      <c r="J197" s="2"/>
      <c r="M197" s="2">
        <v>194</v>
      </c>
      <c r="N197" s="2">
        <f t="shared" si="39"/>
        <v>1430.5</v>
      </c>
      <c r="O197" s="2">
        <v>0</v>
      </c>
      <c r="P197" s="2">
        <v>15</v>
      </c>
      <c r="Q197" s="2">
        <f t="shared" ref="Q197:Q260" si="41">SQRT((N198-N197)^2+(O198-O197)^2+(P198-P197)^2)</f>
        <v>7.5</v>
      </c>
      <c r="R197" s="2">
        <v>3</v>
      </c>
      <c r="S197" s="2"/>
    </row>
    <row r="198" spans="4:19" x14ac:dyDescent="0.3">
      <c r="D198" s="2">
        <v>195</v>
      </c>
      <c r="E198" s="2">
        <f t="shared" si="38"/>
        <v>1438</v>
      </c>
      <c r="F198" s="2">
        <v>0</v>
      </c>
      <c r="G198" s="2">
        <v>-15</v>
      </c>
      <c r="H198" s="2">
        <f t="shared" si="40"/>
        <v>7.5</v>
      </c>
      <c r="I198" s="2">
        <v>2</v>
      </c>
      <c r="J198" s="2"/>
      <c r="M198" s="2">
        <v>195</v>
      </c>
      <c r="N198" s="2">
        <f t="shared" si="39"/>
        <v>1438</v>
      </c>
      <c r="O198" s="2">
        <v>0</v>
      </c>
      <c r="P198" s="2">
        <v>15</v>
      </c>
      <c r="Q198" s="2">
        <f t="shared" si="41"/>
        <v>7.5</v>
      </c>
      <c r="R198" s="2">
        <v>2</v>
      </c>
      <c r="S198" s="2"/>
    </row>
    <row r="199" spans="4:19" x14ac:dyDescent="0.3">
      <c r="D199" s="2">
        <v>196</v>
      </c>
      <c r="E199" s="2">
        <f t="shared" si="38"/>
        <v>1445.5</v>
      </c>
      <c r="F199" s="2">
        <v>0</v>
      </c>
      <c r="G199" s="2">
        <v>-15</v>
      </c>
      <c r="H199" s="2">
        <f t="shared" si="40"/>
        <v>7.5</v>
      </c>
      <c r="I199" s="2">
        <v>5</v>
      </c>
      <c r="J199" s="2">
        <v>5</v>
      </c>
      <c r="M199" s="2">
        <v>196</v>
      </c>
      <c r="N199" s="2">
        <f t="shared" si="39"/>
        <v>1445.5</v>
      </c>
      <c r="O199" s="2">
        <v>0</v>
      </c>
      <c r="P199" s="2">
        <v>15</v>
      </c>
      <c r="Q199" s="2">
        <f t="shared" si="41"/>
        <v>7.5</v>
      </c>
      <c r="R199" s="2">
        <v>5</v>
      </c>
      <c r="S199" s="2"/>
    </row>
    <row r="200" spans="4:19" x14ac:dyDescent="0.3">
      <c r="D200" s="2">
        <v>197</v>
      </c>
      <c r="E200" s="2">
        <f t="shared" si="38"/>
        <v>1453</v>
      </c>
      <c r="F200" s="2">
        <v>0</v>
      </c>
      <c r="G200" s="2">
        <v>-15</v>
      </c>
      <c r="H200" s="2">
        <f t="shared" si="40"/>
        <v>7.5</v>
      </c>
      <c r="I200" s="2">
        <v>2</v>
      </c>
      <c r="J200" s="2"/>
      <c r="M200" s="2">
        <v>197</v>
      </c>
      <c r="N200" s="2">
        <f t="shared" si="39"/>
        <v>1453</v>
      </c>
      <c r="O200" s="2">
        <v>0</v>
      </c>
      <c r="P200" s="2">
        <v>15</v>
      </c>
      <c r="Q200" s="2">
        <f t="shared" si="41"/>
        <v>7.5</v>
      </c>
      <c r="R200" s="2">
        <v>2</v>
      </c>
      <c r="S200" s="2"/>
    </row>
    <row r="201" spans="4:19" x14ac:dyDescent="0.3">
      <c r="D201" s="2">
        <v>198</v>
      </c>
      <c r="E201" s="2">
        <f t="shared" si="38"/>
        <v>1460.5</v>
      </c>
      <c r="F201" s="2">
        <v>0</v>
      </c>
      <c r="G201" s="2">
        <v>-15</v>
      </c>
      <c r="H201" s="2">
        <f t="shared" si="40"/>
        <v>7.5</v>
      </c>
      <c r="I201" s="2">
        <v>3</v>
      </c>
      <c r="J201" s="2"/>
      <c r="M201" s="2">
        <v>198</v>
      </c>
      <c r="N201" s="2">
        <f t="shared" si="39"/>
        <v>1460.5</v>
      </c>
      <c r="O201" s="2">
        <v>0</v>
      </c>
      <c r="P201" s="2">
        <v>15</v>
      </c>
      <c r="Q201" s="2">
        <f t="shared" si="41"/>
        <v>7.5</v>
      </c>
      <c r="R201" s="2">
        <v>3</v>
      </c>
      <c r="S201" s="2"/>
    </row>
    <row r="202" spans="4:19" x14ac:dyDescent="0.3">
      <c r="D202" s="2">
        <v>199</v>
      </c>
      <c r="E202" s="2">
        <f t="shared" si="38"/>
        <v>1468</v>
      </c>
      <c r="F202" s="2">
        <v>0</v>
      </c>
      <c r="G202" s="2">
        <v>-15</v>
      </c>
      <c r="H202" s="2">
        <f t="shared" si="40"/>
        <v>7.5</v>
      </c>
      <c r="I202" s="2">
        <v>2</v>
      </c>
      <c r="J202" s="2"/>
      <c r="M202" s="2">
        <v>199</v>
      </c>
      <c r="N202" s="2">
        <f t="shared" si="39"/>
        <v>1468</v>
      </c>
      <c r="O202" s="2">
        <v>0</v>
      </c>
      <c r="P202" s="2">
        <v>15</v>
      </c>
      <c r="Q202" s="2">
        <f t="shared" si="41"/>
        <v>7.5</v>
      </c>
      <c r="R202" s="2">
        <v>2</v>
      </c>
      <c r="S202" s="2"/>
    </row>
    <row r="203" spans="4:19" x14ac:dyDescent="0.3">
      <c r="D203" s="2">
        <v>200</v>
      </c>
      <c r="E203" s="2">
        <f t="shared" si="38"/>
        <v>1475.5</v>
      </c>
      <c r="F203" s="2">
        <v>0</v>
      </c>
      <c r="G203" s="2">
        <v>-15</v>
      </c>
      <c r="H203" s="2">
        <f t="shared" si="40"/>
        <v>7.5</v>
      </c>
      <c r="I203" s="2">
        <v>5</v>
      </c>
      <c r="J203" s="2">
        <v>5</v>
      </c>
      <c r="M203" s="2">
        <v>200</v>
      </c>
      <c r="N203" s="2">
        <f t="shared" si="39"/>
        <v>1475.5</v>
      </c>
      <c r="O203" s="2">
        <v>0</v>
      </c>
      <c r="P203" s="2">
        <v>15</v>
      </c>
      <c r="Q203" s="2">
        <f t="shared" si="41"/>
        <v>7.5</v>
      </c>
      <c r="R203" s="2">
        <v>5</v>
      </c>
      <c r="S203" s="2"/>
    </row>
    <row r="204" spans="4:19" x14ac:dyDescent="0.3">
      <c r="D204" s="2">
        <v>201</v>
      </c>
      <c r="E204" s="2">
        <f t="shared" si="38"/>
        <v>1483</v>
      </c>
      <c r="F204" s="2">
        <v>0</v>
      </c>
      <c r="G204" s="2">
        <v>-15</v>
      </c>
      <c r="H204" s="2">
        <f t="shared" si="40"/>
        <v>7.5</v>
      </c>
      <c r="I204" s="2">
        <v>2</v>
      </c>
      <c r="J204" s="2"/>
      <c r="M204" s="2">
        <v>201</v>
      </c>
      <c r="N204" s="2">
        <f t="shared" si="39"/>
        <v>1483</v>
      </c>
      <c r="O204" s="2">
        <v>0</v>
      </c>
      <c r="P204" s="2">
        <v>15</v>
      </c>
      <c r="Q204" s="2">
        <f t="shared" si="41"/>
        <v>7.5</v>
      </c>
      <c r="R204" s="2">
        <v>2</v>
      </c>
      <c r="S204" s="2"/>
    </row>
    <row r="205" spans="4:19" x14ac:dyDescent="0.3">
      <c r="D205" s="2">
        <v>202</v>
      </c>
      <c r="E205" s="2">
        <f t="shared" si="38"/>
        <v>1490.5</v>
      </c>
      <c r="F205" s="2">
        <v>0</v>
      </c>
      <c r="G205" s="2">
        <v>-15</v>
      </c>
      <c r="H205" s="2">
        <f t="shared" si="40"/>
        <v>7.5</v>
      </c>
      <c r="I205" s="2">
        <v>3</v>
      </c>
      <c r="J205" s="2"/>
      <c r="M205" s="2">
        <v>202</v>
      </c>
      <c r="N205" s="2">
        <f t="shared" si="39"/>
        <v>1490.5</v>
      </c>
      <c r="O205" s="2">
        <v>0</v>
      </c>
      <c r="P205" s="2">
        <v>15</v>
      </c>
      <c r="Q205" s="2">
        <f t="shared" si="41"/>
        <v>7.5</v>
      </c>
      <c r="R205" s="2">
        <v>3</v>
      </c>
      <c r="S205" s="2"/>
    </row>
    <row r="206" spans="4:19" x14ac:dyDescent="0.3">
      <c r="D206" s="2">
        <v>203</v>
      </c>
      <c r="E206" s="2">
        <f t="shared" si="38"/>
        <v>1498</v>
      </c>
      <c r="F206" s="2">
        <v>0</v>
      </c>
      <c r="G206" s="2">
        <v>-15</v>
      </c>
      <c r="H206" s="2">
        <f t="shared" si="40"/>
        <v>7.5</v>
      </c>
      <c r="I206" s="2">
        <v>2</v>
      </c>
      <c r="J206" s="2"/>
      <c r="M206" s="2">
        <v>203</v>
      </c>
      <c r="N206" s="2">
        <f t="shared" si="39"/>
        <v>1498</v>
      </c>
      <c r="O206" s="2">
        <v>0</v>
      </c>
      <c r="P206" s="2">
        <v>15</v>
      </c>
      <c r="Q206" s="2">
        <f t="shared" si="41"/>
        <v>7.5</v>
      </c>
      <c r="R206" s="2">
        <v>2</v>
      </c>
      <c r="S206" s="2"/>
    </row>
    <row r="207" spans="4:19" x14ac:dyDescent="0.3">
      <c r="D207" s="2">
        <v>204</v>
      </c>
      <c r="E207" s="2">
        <f t="shared" si="38"/>
        <v>1505.5</v>
      </c>
      <c r="F207" s="2">
        <v>0</v>
      </c>
      <c r="G207" s="2">
        <v>-15</v>
      </c>
      <c r="H207" s="2">
        <f t="shared" si="40"/>
        <v>7.5</v>
      </c>
      <c r="I207" s="2">
        <v>5</v>
      </c>
      <c r="J207" s="2">
        <v>5</v>
      </c>
      <c r="M207" s="2">
        <v>204</v>
      </c>
      <c r="N207" s="2">
        <f t="shared" si="39"/>
        <v>1505.5</v>
      </c>
      <c r="O207" s="2">
        <v>0</v>
      </c>
      <c r="P207" s="2">
        <v>15</v>
      </c>
      <c r="Q207" s="2">
        <f t="shared" si="41"/>
        <v>7.5</v>
      </c>
      <c r="R207" s="2">
        <v>5</v>
      </c>
      <c r="S207" s="2"/>
    </row>
    <row r="208" spans="4:19" x14ac:dyDescent="0.3">
      <c r="D208" s="2">
        <v>205</v>
      </c>
      <c r="E208" s="2">
        <f t="shared" si="38"/>
        <v>1513</v>
      </c>
      <c r="F208" s="2">
        <v>0</v>
      </c>
      <c r="G208" s="2">
        <v>-15</v>
      </c>
      <c r="H208" s="2">
        <f t="shared" si="40"/>
        <v>6</v>
      </c>
      <c r="I208" s="2">
        <v>2</v>
      </c>
      <c r="J208" s="2"/>
      <c r="M208" s="2">
        <v>205</v>
      </c>
      <c r="N208" s="2">
        <f t="shared" si="39"/>
        <v>1513</v>
      </c>
      <c r="O208" s="2">
        <v>0</v>
      </c>
      <c r="P208" s="2">
        <v>15</v>
      </c>
      <c r="Q208" s="2">
        <f t="shared" si="41"/>
        <v>6</v>
      </c>
      <c r="R208" s="2">
        <v>2</v>
      </c>
      <c r="S208" s="2"/>
    </row>
    <row r="209" spans="4:19" x14ac:dyDescent="0.3">
      <c r="D209" s="2">
        <v>206</v>
      </c>
      <c r="E209" s="2">
        <f>E208+6</f>
        <v>1519</v>
      </c>
      <c r="F209" s="2">
        <v>0</v>
      </c>
      <c r="G209" s="2">
        <v>-15</v>
      </c>
      <c r="H209" s="2">
        <f t="shared" si="40"/>
        <v>6</v>
      </c>
      <c r="I209" s="2">
        <v>3</v>
      </c>
      <c r="J209" s="2"/>
      <c r="M209" s="2">
        <v>206</v>
      </c>
      <c r="N209" s="2">
        <f>N208+6</f>
        <v>1519</v>
      </c>
      <c r="O209" s="2">
        <v>0</v>
      </c>
      <c r="P209" s="2">
        <v>15</v>
      </c>
      <c r="Q209" s="2">
        <f t="shared" si="41"/>
        <v>6</v>
      </c>
      <c r="R209" s="2">
        <v>3</v>
      </c>
      <c r="S209" s="2"/>
    </row>
    <row r="210" spans="4:19" x14ac:dyDescent="0.3">
      <c r="D210" s="2">
        <v>207</v>
      </c>
      <c r="E210" s="2">
        <f t="shared" ref="E210:E211" si="42">E209+6</f>
        <v>1525</v>
      </c>
      <c r="F210" s="2">
        <v>0</v>
      </c>
      <c r="G210" s="2">
        <v>-15</v>
      </c>
      <c r="H210" s="2">
        <f t="shared" si="40"/>
        <v>6</v>
      </c>
      <c r="I210" s="2">
        <v>3</v>
      </c>
      <c r="J210" s="2"/>
      <c r="M210" s="2">
        <v>207</v>
      </c>
      <c r="N210" s="2">
        <f t="shared" ref="N210:N211" si="43">N209+6</f>
        <v>1525</v>
      </c>
      <c r="O210" s="2">
        <v>0</v>
      </c>
      <c r="P210" s="2">
        <v>15</v>
      </c>
      <c r="Q210" s="2">
        <f t="shared" si="41"/>
        <v>6</v>
      </c>
      <c r="R210" s="2">
        <v>3</v>
      </c>
      <c r="S210" s="2"/>
    </row>
    <row r="211" spans="4:19" x14ac:dyDescent="0.3">
      <c r="D211" s="2">
        <v>208</v>
      </c>
      <c r="E211" s="2">
        <f t="shared" si="42"/>
        <v>1531</v>
      </c>
      <c r="F211" s="2">
        <v>0</v>
      </c>
      <c r="G211" s="2">
        <v>-15</v>
      </c>
      <c r="H211" s="2">
        <f t="shared" si="40"/>
        <v>7</v>
      </c>
      <c r="I211" s="2">
        <v>4</v>
      </c>
      <c r="J211" s="2">
        <v>5</v>
      </c>
      <c r="M211" s="2">
        <v>208</v>
      </c>
      <c r="N211" s="2">
        <f t="shared" si="43"/>
        <v>1531</v>
      </c>
      <c r="O211" s="2">
        <v>0</v>
      </c>
      <c r="P211" s="2">
        <v>15</v>
      </c>
      <c r="Q211" s="2">
        <f t="shared" si="41"/>
        <v>7</v>
      </c>
      <c r="R211" s="2">
        <v>4</v>
      </c>
      <c r="S211" s="2"/>
    </row>
    <row r="212" spans="4:19" x14ac:dyDescent="0.3">
      <c r="D212" s="2">
        <v>209</v>
      </c>
      <c r="E212" s="2">
        <f>E211+7</f>
        <v>1538</v>
      </c>
      <c r="F212" s="2">
        <v>0</v>
      </c>
      <c r="G212" s="2">
        <v>-15</v>
      </c>
      <c r="H212" s="2">
        <f t="shared" si="40"/>
        <v>8</v>
      </c>
      <c r="I212" s="2">
        <v>3</v>
      </c>
      <c r="J212" s="2"/>
      <c r="M212" s="2">
        <v>209</v>
      </c>
      <c r="N212" s="2">
        <f>N211+7</f>
        <v>1538</v>
      </c>
      <c r="O212" s="2">
        <v>0</v>
      </c>
      <c r="P212" s="2">
        <v>15</v>
      </c>
      <c r="Q212" s="2">
        <f t="shared" si="41"/>
        <v>8</v>
      </c>
      <c r="R212" s="2">
        <v>3</v>
      </c>
      <c r="S212" s="2"/>
    </row>
    <row r="213" spans="4:19" x14ac:dyDescent="0.3">
      <c r="D213" s="2">
        <v>210</v>
      </c>
      <c r="E213" s="2">
        <f>E212+8</f>
        <v>1546</v>
      </c>
      <c r="F213" s="2">
        <v>0</v>
      </c>
      <c r="G213" s="2">
        <v>-15</v>
      </c>
      <c r="H213" s="2">
        <f t="shared" si="40"/>
        <v>8</v>
      </c>
      <c r="I213" s="2">
        <v>3</v>
      </c>
      <c r="J213" s="2"/>
      <c r="M213" s="2">
        <v>210</v>
      </c>
      <c r="N213" s="2">
        <f>N212+8</f>
        <v>1546</v>
      </c>
      <c r="O213" s="2">
        <v>0</v>
      </c>
      <c r="P213" s="2">
        <v>15</v>
      </c>
      <c r="Q213" s="2">
        <f t="shared" si="41"/>
        <v>8</v>
      </c>
      <c r="R213" s="2">
        <v>3</v>
      </c>
      <c r="S213" s="2"/>
    </row>
    <row r="214" spans="4:19" x14ac:dyDescent="0.3">
      <c r="D214" s="2">
        <v>211</v>
      </c>
      <c r="E214" s="2">
        <f t="shared" ref="E214:E216" si="44">E213+8</f>
        <v>1554</v>
      </c>
      <c r="F214" s="2">
        <v>0</v>
      </c>
      <c r="G214" s="2">
        <v>-15</v>
      </c>
      <c r="H214" s="2">
        <f t="shared" si="40"/>
        <v>8</v>
      </c>
      <c r="I214" s="2">
        <v>3</v>
      </c>
      <c r="J214" s="2"/>
      <c r="M214" s="2">
        <v>211</v>
      </c>
      <c r="N214" s="2">
        <f t="shared" ref="N214:N216" si="45">N213+8</f>
        <v>1554</v>
      </c>
      <c r="O214" s="2">
        <v>0</v>
      </c>
      <c r="P214" s="2">
        <v>15</v>
      </c>
      <c r="Q214" s="2">
        <f t="shared" si="41"/>
        <v>8</v>
      </c>
      <c r="R214" s="2">
        <v>3</v>
      </c>
      <c r="S214" s="2"/>
    </row>
    <row r="215" spans="4:19" x14ac:dyDescent="0.3">
      <c r="D215" s="2">
        <v>212</v>
      </c>
      <c r="E215" s="2">
        <f t="shared" si="44"/>
        <v>1562</v>
      </c>
      <c r="F215" s="2">
        <v>0</v>
      </c>
      <c r="G215" s="2">
        <v>-15</v>
      </c>
      <c r="H215" s="2">
        <f t="shared" si="40"/>
        <v>8</v>
      </c>
      <c r="I215" s="2">
        <v>5</v>
      </c>
      <c r="J215" s="2">
        <v>5</v>
      </c>
      <c r="M215" s="2">
        <v>212</v>
      </c>
      <c r="N215" s="2">
        <f t="shared" si="45"/>
        <v>1562</v>
      </c>
      <c r="O215" s="2">
        <v>0</v>
      </c>
      <c r="P215" s="2">
        <v>15</v>
      </c>
      <c r="Q215" s="2">
        <f t="shared" si="41"/>
        <v>8</v>
      </c>
      <c r="R215" s="2">
        <v>5</v>
      </c>
      <c r="S215" s="2"/>
    </row>
    <row r="216" spans="4:19" x14ac:dyDescent="0.3">
      <c r="D216" s="2">
        <v>213</v>
      </c>
      <c r="E216" s="2">
        <f t="shared" si="44"/>
        <v>1570</v>
      </c>
      <c r="F216" s="2">
        <v>0</v>
      </c>
      <c r="G216" s="2">
        <v>-15</v>
      </c>
      <c r="H216" s="2">
        <f t="shared" si="40"/>
        <v>7</v>
      </c>
      <c r="I216" s="2">
        <v>3</v>
      </c>
      <c r="J216" s="2"/>
      <c r="M216" s="2">
        <v>213</v>
      </c>
      <c r="N216" s="2">
        <f t="shared" si="45"/>
        <v>1570</v>
      </c>
      <c r="O216" s="2">
        <v>0</v>
      </c>
      <c r="P216" s="2">
        <v>15</v>
      </c>
      <c r="Q216" s="2">
        <f t="shared" si="41"/>
        <v>7</v>
      </c>
      <c r="R216" s="2">
        <v>3</v>
      </c>
      <c r="S216" s="2"/>
    </row>
    <row r="217" spans="4:19" x14ac:dyDescent="0.3">
      <c r="D217" s="2">
        <v>214</v>
      </c>
      <c r="E217" s="2">
        <f>E216+7</f>
        <v>1577</v>
      </c>
      <c r="F217" s="2">
        <v>0</v>
      </c>
      <c r="G217" s="2">
        <v>-15</v>
      </c>
      <c r="H217" s="2">
        <f t="shared" si="40"/>
        <v>6</v>
      </c>
      <c r="I217" s="2">
        <v>4</v>
      </c>
      <c r="J217" s="2"/>
      <c r="M217" s="2">
        <v>214</v>
      </c>
      <c r="N217" s="2">
        <f>N216+7</f>
        <v>1577</v>
      </c>
      <c r="O217" s="2">
        <v>0</v>
      </c>
      <c r="P217" s="2">
        <v>15</v>
      </c>
      <c r="Q217" s="2">
        <f t="shared" si="41"/>
        <v>6</v>
      </c>
      <c r="R217" s="2">
        <v>4</v>
      </c>
      <c r="S217" s="2"/>
    </row>
    <row r="218" spans="4:19" x14ac:dyDescent="0.3">
      <c r="D218" s="2">
        <v>215</v>
      </c>
      <c r="E218" s="2">
        <f>E217+6</f>
        <v>1583</v>
      </c>
      <c r="F218" s="2">
        <v>0</v>
      </c>
      <c r="G218" s="2">
        <v>-15</v>
      </c>
      <c r="H218" s="2">
        <f t="shared" si="40"/>
        <v>6</v>
      </c>
      <c r="I218" s="2">
        <v>3</v>
      </c>
      <c r="J218" s="2"/>
      <c r="M218" s="2">
        <v>215</v>
      </c>
      <c r="N218" s="2">
        <f>N217+6</f>
        <v>1583</v>
      </c>
      <c r="O218" s="2">
        <v>0</v>
      </c>
      <c r="P218" s="2">
        <v>15</v>
      </c>
      <c r="Q218" s="2">
        <f t="shared" si="41"/>
        <v>6</v>
      </c>
      <c r="R218" s="2">
        <v>3</v>
      </c>
      <c r="S218" s="2"/>
    </row>
    <row r="219" spans="4:19" x14ac:dyDescent="0.3">
      <c r="D219" s="2">
        <v>216</v>
      </c>
      <c r="E219" s="2">
        <f t="shared" ref="E219:E220" si="46">E218+6</f>
        <v>1589</v>
      </c>
      <c r="F219" s="2">
        <v>0</v>
      </c>
      <c r="G219" s="2">
        <v>-15</v>
      </c>
      <c r="H219" s="2">
        <f t="shared" si="40"/>
        <v>6</v>
      </c>
      <c r="I219" s="2">
        <v>5</v>
      </c>
      <c r="J219" s="2">
        <v>5</v>
      </c>
      <c r="M219" s="2">
        <v>216</v>
      </c>
      <c r="N219" s="2">
        <f t="shared" ref="N219:N220" si="47">N218+6</f>
        <v>1589</v>
      </c>
      <c r="O219" s="2">
        <v>0</v>
      </c>
      <c r="P219" s="2">
        <v>15</v>
      </c>
      <c r="Q219" s="2">
        <f t="shared" si="41"/>
        <v>6</v>
      </c>
      <c r="R219" s="2">
        <v>5</v>
      </c>
      <c r="S219" s="2"/>
    </row>
    <row r="220" spans="4:19" x14ac:dyDescent="0.3">
      <c r="D220" s="2">
        <v>217</v>
      </c>
      <c r="E220" s="2">
        <f t="shared" si="46"/>
        <v>1595</v>
      </c>
      <c r="F220" s="2">
        <v>0</v>
      </c>
      <c r="G220" s="2">
        <v>-15</v>
      </c>
      <c r="H220" s="2">
        <f t="shared" si="40"/>
        <v>7.5</v>
      </c>
      <c r="I220" s="2">
        <v>2</v>
      </c>
      <c r="J220" s="2"/>
      <c r="M220" s="2">
        <v>217</v>
      </c>
      <c r="N220" s="2">
        <f t="shared" si="47"/>
        <v>1595</v>
      </c>
      <c r="O220" s="2">
        <v>0</v>
      </c>
      <c r="P220" s="2">
        <v>15</v>
      </c>
      <c r="Q220" s="2">
        <f t="shared" si="41"/>
        <v>7.5</v>
      </c>
      <c r="R220" s="2">
        <v>2</v>
      </c>
      <c r="S220" s="2"/>
    </row>
    <row r="221" spans="4:19" x14ac:dyDescent="0.3">
      <c r="D221" s="2">
        <v>218</v>
      </c>
      <c r="E221" s="2">
        <f>E220+7.5</f>
        <v>1602.5</v>
      </c>
      <c r="F221" s="2">
        <v>0</v>
      </c>
      <c r="G221" s="2">
        <v>-15</v>
      </c>
      <c r="H221" s="2">
        <f t="shared" si="40"/>
        <v>7.5</v>
      </c>
      <c r="I221" s="2">
        <v>3</v>
      </c>
      <c r="J221" s="2"/>
      <c r="M221" s="2">
        <v>218</v>
      </c>
      <c r="N221" s="2">
        <f>N220+7.5</f>
        <v>1602.5</v>
      </c>
      <c r="O221" s="2">
        <v>0</v>
      </c>
      <c r="P221" s="2">
        <v>15</v>
      </c>
      <c r="Q221" s="2">
        <f t="shared" si="41"/>
        <v>7.5</v>
      </c>
      <c r="R221" s="2">
        <v>3</v>
      </c>
      <c r="S221" s="2"/>
    </row>
    <row r="222" spans="4:19" x14ac:dyDescent="0.3">
      <c r="D222" s="2">
        <v>219</v>
      </c>
      <c r="E222" s="2">
        <f t="shared" ref="E222:E242" si="48">E221+7.5</f>
        <v>1610</v>
      </c>
      <c r="F222" s="2">
        <v>0</v>
      </c>
      <c r="G222" s="2">
        <v>-15</v>
      </c>
      <c r="H222" s="2">
        <f t="shared" si="40"/>
        <v>7.5</v>
      </c>
      <c r="I222" s="2">
        <v>2</v>
      </c>
      <c r="J222" s="2"/>
      <c r="M222" s="2">
        <v>219</v>
      </c>
      <c r="N222" s="2">
        <f t="shared" ref="N222:N242" si="49">N221+7.5</f>
        <v>1610</v>
      </c>
      <c r="O222" s="2">
        <v>0</v>
      </c>
      <c r="P222" s="2">
        <v>15</v>
      </c>
      <c r="Q222" s="2">
        <f t="shared" si="41"/>
        <v>7.5</v>
      </c>
      <c r="R222" s="2">
        <v>2</v>
      </c>
      <c r="S222" s="2"/>
    </row>
    <row r="223" spans="4:19" x14ac:dyDescent="0.3">
      <c r="D223" s="2">
        <v>220</v>
      </c>
      <c r="E223" s="2">
        <f t="shared" si="48"/>
        <v>1617.5</v>
      </c>
      <c r="F223" s="2">
        <v>0</v>
      </c>
      <c r="G223" s="2">
        <v>-15</v>
      </c>
      <c r="H223" s="2">
        <f t="shared" si="40"/>
        <v>7.5</v>
      </c>
      <c r="I223" s="2">
        <v>5</v>
      </c>
      <c r="J223" s="2">
        <v>5</v>
      </c>
      <c r="M223" s="2">
        <v>220</v>
      </c>
      <c r="N223" s="2">
        <f t="shared" si="49"/>
        <v>1617.5</v>
      </c>
      <c r="O223" s="2">
        <v>0</v>
      </c>
      <c r="P223" s="2">
        <v>15</v>
      </c>
      <c r="Q223" s="2">
        <f t="shared" si="41"/>
        <v>7.5</v>
      </c>
      <c r="R223" s="2">
        <v>5</v>
      </c>
      <c r="S223" s="2"/>
    </row>
    <row r="224" spans="4:19" x14ac:dyDescent="0.3">
      <c r="D224" s="2">
        <v>221</v>
      </c>
      <c r="E224" s="2">
        <f t="shared" si="48"/>
        <v>1625</v>
      </c>
      <c r="F224" s="2">
        <v>0</v>
      </c>
      <c r="G224" s="2">
        <v>-15</v>
      </c>
      <c r="H224" s="2">
        <f t="shared" si="40"/>
        <v>7.5</v>
      </c>
      <c r="I224" s="2">
        <v>2</v>
      </c>
      <c r="J224" s="2"/>
      <c r="M224" s="2">
        <v>221</v>
      </c>
      <c r="N224" s="2">
        <f t="shared" si="49"/>
        <v>1625</v>
      </c>
      <c r="O224" s="2">
        <v>0</v>
      </c>
      <c r="P224" s="2">
        <v>15</v>
      </c>
      <c r="Q224" s="2">
        <f t="shared" si="41"/>
        <v>7.5</v>
      </c>
      <c r="R224" s="2">
        <v>2</v>
      </c>
      <c r="S224" s="2"/>
    </row>
    <row r="225" spans="4:19" x14ac:dyDescent="0.3">
      <c r="D225" s="2">
        <v>222</v>
      </c>
      <c r="E225" s="2">
        <f t="shared" si="48"/>
        <v>1632.5</v>
      </c>
      <c r="F225" s="2">
        <v>0</v>
      </c>
      <c r="G225" s="2">
        <v>-15</v>
      </c>
      <c r="H225" s="2">
        <f t="shared" si="40"/>
        <v>7.5</v>
      </c>
      <c r="I225" s="2">
        <v>3</v>
      </c>
      <c r="J225" s="2"/>
      <c r="M225" s="2">
        <v>222</v>
      </c>
      <c r="N225" s="2">
        <f t="shared" si="49"/>
        <v>1632.5</v>
      </c>
      <c r="O225" s="2">
        <v>0</v>
      </c>
      <c r="P225" s="2">
        <v>15</v>
      </c>
      <c r="Q225" s="2">
        <f t="shared" si="41"/>
        <v>7.5</v>
      </c>
      <c r="R225" s="2">
        <v>3</v>
      </c>
      <c r="S225" s="2"/>
    </row>
    <row r="226" spans="4:19" x14ac:dyDescent="0.3">
      <c r="D226" s="2">
        <v>223</v>
      </c>
      <c r="E226" s="2">
        <f t="shared" si="48"/>
        <v>1640</v>
      </c>
      <c r="F226" s="2">
        <v>0</v>
      </c>
      <c r="G226" s="2">
        <v>-15</v>
      </c>
      <c r="H226" s="2">
        <f t="shared" si="40"/>
        <v>7.5</v>
      </c>
      <c r="I226" s="2">
        <v>2</v>
      </c>
      <c r="J226" s="2"/>
      <c r="M226" s="2">
        <v>223</v>
      </c>
      <c r="N226" s="2">
        <f t="shared" si="49"/>
        <v>1640</v>
      </c>
      <c r="O226" s="2">
        <v>0</v>
      </c>
      <c r="P226" s="2">
        <v>15</v>
      </c>
      <c r="Q226" s="2">
        <f t="shared" si="41"/>
        <v>7.5</v>
      </c>
      <c r="R226" s="2">
        <v>2</v>
      </c>
      <c r="S226" s="2"/>
    </row>
    <row r="227" spans="4:19" x14ac:dyDescent="0.3">
      <c r="D227" s="2">
        <v>224</v>
      </c>
      <c r="E227" s="2">
        <f t="shared" si="48"/>
        <v>1647.5</v>
      </c>
      <c r="F227" s="2">
        <v>0</v>
      </c>
      <c r="G227" s="2">
        <v>-15</v>
      </c>
      <c r="H227" s="2">
        <f t="shared" si="40"/>
        <v>7.5</v>
      </c>
      <c r="I227" s="2">
        <v>5</v>
      </c>
      <c r="J227" s="2">
        <v>5</v>
      </c>
      <c r="M227" s="2">
        <v>224</v>
      </c>
      <c r="N227" s="2">
        <f t="shared" si="49"/>
        <v>1647.5</v>
      </c>
      <c r="O227" s="2">
        <v>0</v>
      </c>
      <c r="P227" s="2">
        <v>15</v>
      </c>
      <c r="Q227" s="2">
        <f t="shared" si="41"/>
        <v>7.5</v>
      </c>
      <c r="R227" s="2">
        <v>5</v>
      </c>
      <c r="S227" s="2"/>
    </row>
    <row r="228" spans="4:19" x14ac:dyDescent="0.3">
      <c r="D228" s="2">
        <v>225</v>
      </c>
      <c r="E228" s="2">
        <f t="shared" si="48"/>
        <v>1655</v>
      </c>
      <c r="F228" s="2">
        <v>0</v>
      </c>
      <c r="G228" s="2">
        <v>-15</v>
      </c>
      <c r="H228" s="2">
        <f t="shared" si="40"/>
        <v>7.5</v>
      </c>
      <c r="I228" s="2">
        <v>2</v>
      </c>
      <c r="J228" s="2"/>
      <c r="M228" s="2">
        <v>225</v>
      </c>
      <c r="N228" s="2">
        <f t="shared" si="49"/>
        <v>1655</v>
      </c>
      <c r="O228" s="2">
        <v>0</v>
      </c>
      <c r="P228" s="2">
        <v>15</v>
      </c>
      <c r="Q228" s="2">
        <f t="shared" si="41"/>
        <v>7.5</v>
      </c>
      <c r="R228" s="2">
        <v>2</v>
      </c>
      <c r="S228" s="2"/>
    </row>
    <row r="229" spans="4:19" x14ac:dyDescent="0.3">
      <c r="D229" s="2">
        <v>226</v>
      </c>
      <c r="E229" s="2">
        <f t="shared" si="48"/>
        <v>1662.5</v>
      </c>
      <c r="F229" s="2">
        <v>0</v>
      </c>
      <c r="G229" s="2">
        <v>-15</v>
      </c>
      <c r="H229" s="2">
        <f t="shared" si="40"/>
        <v>7.5</v>
      </c>
      <c r="I229" s="2">
        <v>3</v>
      </c>
      <c r="J229" s="2"/>
      <c r="M229" s="2">
        <v>226</v>
      </c>
      <c r="N229" s="2">
        <f t="shared" si="49"/>
        <v>1662.5</v>
      </c>
      <c r="O229" s="2">
        <v>0</v>
      </c>
      <c r="P229" s="2">
        <v>15</v>
      </c>
      <c r="Q229" s="2">
        <f t="shared" si="41"/>
        <v>7.5</v>
      </c>
      <c r="R229" s="2">
        <v>3</v>
      </c>
      <c r="S229" s="2"/>
    </row>
    <row r="230" spans="4:19" x14ac:dyDescent="0.3">
      <c r="D230" s="2">
        <v>227</v>
      </c>
      <c r="E230" s="2">
        <f t="shared" si="48"/>
        <v>1670</v>
      </c>
      <c r="F230" s="2">
        <v>0</v>
      </c>
      <c r="G230" s="2">
        <v>-15</v>
      </c>
      <c r="H230" s="2">
        <f t="shared" si="40"/>
        <v>7.5</v>
      </c>
      <c r="I230" s="2">
        <v>2</v>
      </c>
      <c r="J230" s="2"/>
      <c r="M230" s="2">
        <v>227</v>
      </c>
      <c r="N230" s="2">
        <f t="shared" si="49"/>
        <v>1670</v>
      </c>
      <c r="O230" s="2">
        <v>0</v>
      </c>
      <c r="P230" s="2">
        <v>15</v>
      </c>
      <c r="Q230" s="2">
        <f t="shared" si="41"/>
        <v>7.5</v>
      </c>
      <c r="R230" s="2">
        <v>2</v>
      </c>
      <c r="S230" s="2"/>
    </row>
    <row r="231" spans="4:19" x14ac:dyDescent="0.3">
      <c r="D231" s="2">
        <v>228</v>
      </c>
      <c r="E231" s="2">
        <f t="shared" si="48"/>
        <v>1677.5</v>
      </c>
      <c r="F231" s="2">
        <v>0</v>
      </c>
      <c r="G231" s="2">
        <v>-15</v>
      </c>
      <c r="H231" s="2">
        <f t="shared" si="40"/>
        <v>7.5</v>
      </c>
      <c r="I231" s="2">
        <v>5</v>
      </c>
      <c r="J231" s="2">
        <v>5</v>
      </c>
      <c r="M231" s="2">
        <v>228</v>
      </c>
      <c r="N231" s="2">
        <f t="shared" si="49"/>
        <v>1677.5</v>
      </c>
      <c r="O231" s="2">
        <v>0</v>
      </c>
      <c r="P231" s="2">
        <v>15</v>
      </c>
      <c r="Q231" s="2">
        <f t="shared" si="41"/>
        <v>7.5</v>
      </c>
      <c r="R231" s="2">
        <v>5</v>
      </c>
      <c r="S231" s="2"/>
    </row>
    <row r="232" spans="4:19" x14ac:dyDescent="0.3">
      <c r="D232" s="2">
        <v>229</v>
      </c>
      <c r="E232" s="2">
        <f t="shared" si="48"/>
        <v>1685</v>
      </c>
      <c r="F232" s="2">
        <v>0</v>
      </c>
      <c r="G232" s="2">
        <v>-15</v>
      </c>
      <c r="H232" s="2">
        <f t="shared" si="40"/>
        <v>7.5</v>
      </c>
      <c r="I232" s="2">
        <v>2</v>
      </c>
      <c r="J232" s="2"/>
      <c r="M232" s="2">
        <v>229</v>
      </c>
      <c r="N232" s="2">
        <f t="shared" si="49"/>
        <v>1685</v>
      </c>
      <c r="O232" s="2">
        <v>0</v>
      </c>
      <c r="P232" s="2">
        <v>15</v>
      </c>
      <c r="Q232" s="2">
        <f t="shared" si="41"/>
        <v>7.5</v>
      </c>
      <c r="R232" s="2">
        <v>2</v>
      </c>
      <c r="S232" s="2"/>
    </row>
    <row r="233" spans="4:19" x14ac:dyDescent="0.3">
      <c r="D233" s="2">
        <v>230</v>
      </c>
      <c r="E233" s="2">
        <f t="shared" si="48"/>
        <v>1692.5</v>
      </c>
      <c r="F233" s="2">
        <v>0</v>
      </c>
      <c r="G233" s="2">
        <v>-15</v>
      </c>
      <c r="H233" s="2">
        <f t="shared" si="40"/>
        <v>7.5</v>
      </c>
      <c r="I233" s="2">
        <v>3</v>
      </c>
      <c r="J233" s="2"/>
      <c r="M233" s="2">
        <v>230</v>
      </c>
      <c r="N233" s="2">
        <f t="shared" si="49"/>
        <v>1692.5</v>
      </c>
      <c r="O233" s="2">
        <v>0</v>
      </c>
      <c r="P233" s="2">
        <v>15</v>
      </c>
      <c r="Q233" s="2">
        <f t="shared" si="41"/>
        <v>7.5</v>
      </c>
      <c r="R233" s="2">
        <v>3</v>
      </c>
      <c r="S233" s="2"/>
    </row>
    <row r="234" spans="4:19" x14ac:dyDescent="0.3">
      <c r="D234" s="2">
        <v>231</v>
      </c>
      <c r="E234" s="2">
        <f t="shared" si="48"/>
        <v>1700</v>
      </c>
      <c r="F234" s="2">
        <v>0</v>
      </c>
      <c r="G234" s="2">
        <v>-15</v>
      </c>
      <c r="H234" s="2">
        <f t="shared" si="40"/>
        <v>7.5</v>
      </c>
      <c r="I234" s="2">
        <v>2</v>
      </c>
      <c r="J234" s="2"/>
      <c r="M234" s="2">
        <v>231</v>
      </c>
      <c r="N234" s="2">
        <f t="shared" si="49"/>
        <v>1700</v>
      </c>
      <c r="O234" s="2">
        <v>0</v>
      </c>
      <c r="P234" s="2">
        <v>15</v>
      </c>
      <c r="Q234" s="2">
        <f t="shared" si="41"/>
        <v>7.5</v>
      </c>
      <c r="R234" s="2">
        <v>2</v>
      </c>
      <c r="S234" s="2"/>
    </row>
    <row r="235" spans="4:19" x14ac:dyDescent="0.3">
      <c r="D235" s="2">
        <v>232</v>
      </c>
      <c r="E235" s="2">
        <f t="shared" si="48"/>
        <v>1707.5</v>
      </c>
      <c r="F235" s="2">
        <v>0</v>
      </c>
      <c r="G235" s="2">
        <v>-15</v>
      </c>
      <c r="H235" s="2">
        <f t="shared" si="40"/>
        <v>7.5</v>
      </c>
      <c r="I235" s="2">
        <v>5</v>
      </c>
      <c r="J235" s="2">
        <v>5</v>
      </c>
      <c r="M235" s="2">
        <v>232</v>
      </c>
      <c r="N235" s="2">
        <f t="shared" si="49"/>
        <v>1707.5</v>
      </c>
      <c r="O235" s="2">
        <v>0</v>
      </c>
      <c r="P235" s="2">
        <v>15</v>
      </c>
      <c r="Q235" s="2">
        <f t="shared" si="41"/>
        <v>7.5</v>
      </c>
      <c r="R235" s="2">
        <v>5</v>
      </c>
      <c r="S235" s="2"/>
    </row>
    <row r="236" spans="4:19" x14ac:dyDescent="0.3">
      <c r="D236" s="2">
        <v>233</v>
      </c>
      <c r="E236" s="2">
        <f t="shared" si="48"/>
        <v>1715</v>
      </c>
      <c r="F236" s="2">
        <v>0</v>
      </c>
      <c r="G236" s="2">
        <v>-15</v>
      </c>
      <c r="H236" s="2">
        <f t="shared" si="40"/>
        <v>7.5</v>
      </c>
      <c r="I236" s="2">
        <v>2</v>
      </c>
      <c r="J236" s="2"/>
      <c r="M236" s="2">
        <v>233</v>
      </c>
      <c r="N236" s="2">
        <f t="shared" si="49"/>
        <v>1715</v>
      </c>
      <c r="O236" s="2">
        <v>0</v>
      </c>
      <c r="P236" s="2">
        <v>15</v>
      </c>
      <c r="Q236" s="2">
        <f t="shared" si="41"/>
        <v>7.5</v>
      </c>
      <c r="R236" s="2">
        <v>2</v>
      </c>
      <c r="S236" s="2"/>
    </row>
    <row r="237" spans="4:19" x14ac:dyDescent="0.3">
      <c r="D237" s="2">
        <v>234</v>
      </c>
      <c r="E237" s="2">
        <f t="shared" si="48"/>
        <v>1722.5</v>
      </c>
      <c r="F237" s="2">
        <v>0</v>
      </c>
      <c r="G237" s="2">
        <v>-15</v>
      </c>
      <c r="H237" s="2">
        <f t="shared" si="40"/>
        <v>7.5</v>
      </c>
      <c r="I237" s="2">
        <v>3</v>
      </c>
      <c r="J237" s="2"/>
      <c r="M237" s="2">
        <v>234</v>
      </c>
      <c r="N237" s="2">
        <f t="shared" si="49"/>
        <v>1722.5</v>
      </c>
      <c r="O237" s="2">
        <v>0</v>
      </c>
      <c r="P237" s="2">
        <v>15</v>
      </c>
      <c r="Q237" s="2">
        <f t="shared" si="41"/>
        <v>7.5</v>
      </c>
      <c r="R237" s="2">
        <v>3</v>
      </c>
      <c r="S237" s="2"/>
    </row>
    <row r="238" spans="4:19" x14ac:dyDescent="0.3">
      <c r="D238" s="2">
        <v>235</v>
      </c>
      <c r="E238" s="2">
        <f t="shared" si="48"/>
        <v>1730</v>
      </c>
      <c r="F238" s="2">
        <v>0</v>
      </c>
      <c r="G238" s="2">
        <v>-15</v>
      </c>
      <c r="H238" s="2">
        <f t="shared" si="40"/>
        <v>7.5</v>
      </c>
      <c r="I238" s="2">
        <v>2</v>
      </c>
      <c r="J238" s="2"/>
      <c r="M238" s="2">
        <v>235</v>
      </c>
      <c r="N238" s="2">
        <f t="shared" si="49"/>
        <v>1730</v>
      </c>
      <c r="O238" s="2">
        <v>0</v>
      </c>
      <c r="P238" s="2">
        <v>15</v>
      </c>
      <c r="Q238" s="2">
        <f t="shared" si="41"/>
        <v>7.5</v>
      </c>
      <c r="R238" s="2">
        <v>2</v>
      </c>
      <c r="S238" s="2"/>
    </row>
    <row r="239" spans="4:19" x14ac:dyDescent="0.3">
      <c r="D239" s="2">
        <v>236</v>
      </c>
      <c r="E239" s="2">
        <f t="shared" si="48"/>
        <v>1737.5</v>
      </c>
      <c r="F239" s="2">
        <v>0</v>
      </c>
      <c r="G239" s="2">
        <v>-15</v>
      </c>
      <c r="H239" s="2">
        <f t="shared" si="40"/>
        <v>7.5</v>
      </c>
      <c r="I239" s="2">
        <v>5</v>
      </c>
      <c r="J239" s="2">
        <v>5</v>
      </c>
      <c r="M239" s="2">
        <v>236</v>
      </c>
      <c r="N239" s="2">
        <f t="shared" si="49"/>
        <v>1737.5</v>
      </c>
      <c r="O239" s="2">
        <v>0</v>
      </c>
      <c r="P239" s="2">
        <v>15</v>
      </c>
      <c r="Q239" s="2">
        <f t="shared" si="41"/>
        <v>7.5</v>
      </c>
      <c r="R239" s="2">
        <v>5</v>
      </c>
      <c r="S239" s="2"/>
    </row>
    <row r="240" spans="4:19" x14ac:dyDescent="0.3">
      <c r="D240" s="2">
        <v>237</v>
      </c>
      <c r="E240" s="2">
        <f t="shared" si="48"/>
        <v>1745</v>
      </c>
      <c r="F240" s="2">
        <v>0</v>
      </c>
      <c r="G240" s="2">
        <v>-15</v>
      </c>
      <c r="H240" s="2">
        <f t="shared" si="40"/>
        <v>7.5</v>
      </c>
      <c r="I240" s="2">
        <v>2</v>
      </c>
      <c r="J240" s="2"/>
      <c r="M240" s="2">
        <v>237</v>
      </c>
      <c r="N240" s="2">
        <f t="shared" si="49"/>
        <v>1745</v>
      </c>
      <c r="O240" s="2">
        <v>0</v>
      </c>
      <c r="P240" s="2">
        <v>15</v>
      </c>
      <c r="Q240" s="2">
        <f t="shared" si="41"/>
        <v>7.5</v>
      </c>
      <c r="R240" s="2">
        <v>2</v>
      </c>
      <c r="S240" s="2"/>
    </row>
    <row r="241" spans="4:19" x14ac:dyDescent="0.3">
      <c r="D241" s="2">
        <v>238</v>
      </c>
      <c r="E241" s="2">
        <f t="shared" si="48"/>
        <v>1752.5</v>
      </c>
      <c r="F241" s="2">
        <v>0</v>
      </c>
      <c r="G241" s="2">
        <v>-15</v>
      </c>
      <c r="H241" s="2">
        <f t="shared" si="40"/>
        <v>7.5</v>
      </c>
      <c r="I241" s="2">
        <v>3</v>
      </c>
      <c r="J241" s="2"/>
      <c r="M241" s="2">
        <v>238</v>
      </c>
      <c r="N241" s="2">
        <f t="shared" si="49"/>
        <v>1752.5</v>
      </c>
      <c r="O241" s="2">
        <v>0</v>
      </c>
      <c r="P241" s="2">
        <v>15</v>
      </c>
      <c r="Q241" s="2">
        <f t="shared" si="41"/>
        <v>7.5</v>
      </c>
      <c r="R241" s="2">
        <v>3</v>
      </c>
      <c r="S241" s="2"/>
    </row>
    <row r="242" spans="4:19" x14ac:dyDescent="0.3">
      <c r="D242" s="2">
        <v>239</v>
      </c>
      <c r="E242" s="2">
        <f t="shared" si="48"/>
        <v>1760</v>
      </c>
      <c r="F242" s="2">
        <v>0</v>
      </c>
      <c r="G242" s="2">
        <v>-15</v>
      </c>
      <c r="H242" s="2">
        <f t="shared" si="40"/>
        <v>8</v>
      </c>
      <c r="I242" s="2">
        <v>2</v>
      </c>
      <c r="J242" s="2"/>
      <c r="M242" s="2">
        <v>239</v>
      </c>
      <c r="N242" s="2">
        <f t="shared" si="49"/>
        <v>1760</v>
      </c>
      <c r="O242" s="2">
        <v>0</v>
      </c>
      <c r="P242" s="2">
        <v>15</v>
      </c>
      <c r="Q242" s="2">
        <f t="shared" si="41"/>
        <v>8</v>
      </c>
      <c r="R242" s="2">
        <v>2</v>
      </c>
      <c r="S242" s="2"/>
    </row>
    <row r="243" spans="4:19" x14ac:dyDescent="0.3">
      <c r="D243" s="2">
        <v>240</v>
      </c>
      <c r="E243" s="2">
        <f>E242+8</f>
        <v>1768</v>
      </c>
      <c r="F243" s="2">
        <v>0</v>
      </c>
      <c r="G243" s="2">
        <v>-15</v>
      </c>
      <c r="H243" s="2">
        <f t="shared" si="40"/>
        <v>8</v>
      </c>
      <c r="I243" s="2">
        <v>5</v>
      </c>
      <c r="J243" s="2">
        <v>5</v>
      </c>
      <c r="M243" s="2">
        <v>240</v>
      </c>
      <c r="N243" s="2">
        <f>N242+8</f>
        <v>1768</v>
      </c>
      <c r="O243" s="2">
        <v>0</v>
      </c>
      <c r="P243" s="2">
        <v>15</v>
      </c>
      <c r="Q243" s="2">
        <f t="shared" si="41"/>
        <v>8</v>
      </c>
      <c r="R243" s="2">
        <v>5</v>
      </c>
      <c r="S243" s="2"/>
    </row>
    <row r="244" spans="4:19" x14ac:dyDescent="0.3">
      <c r="D244" s="2">
        <v>241</v>
      </c>
      <c r="E244" s="2">
        <f>E243+8</f>
        <v>1776</v>
      </c>
      <c r="F244" s="2">
        <v>0</v>
      </c>
      <c r="G244" s="2">
        <v>-15</v>
      </c>
      <c r="H244" s="2">
        <f t="shared" si="40"/>
        <v>7.5</v>
      </c>
      <c r="I244" s="2">
        <v>2</v>
      </c>
      <c r="J244" s="2"/>
      <c r="M244" s="2">
        <v>241</v>
      </c>
      <c r="N244" s="2">
        <f>N243+8</f>
        <v>1776</v>
      </c>
      <c r="O244" s="2">
        <v>0</v>
      </c>
      <c r="P244" s="2">
        <v>15</v>
      </c>
      <c r="Q244" s="2">
        <f t="shared" si="41"/>
        <v>7.5</v>
      </c>
      <c r="R244" s="2">
        <v>2</v>
      </c>
      <c r="S244" s="2"/>
    </row>
    <row r="245" spans="4:19" x14ac:dyDescent="0.3">
      <c r="D245" s="2">
        <v>242</v>
      </c>
      <c r="E245" s="2">
        <f>E244+7.5</f>
        <v>1783.5</v>
      </c>
      <c r="F245" s="2">
        <v>0</v>
      </c>
      <c r="G245" s="2">
        <v>-15</v>
      </c>
      <c r="H245" s="2">
        <f t="shared" si="40"/>
        <v>7.5</v>
      </c>
      <c r="I245" s="2">
        <v>3</v>
      </c>
      <c r="J245" s="2"/>
      <c r="M245" s="2">
        <v>242</v>
      </c>
      <c r="N245" s="2">
        <f>N244+7.5</f>
        <v>1783.5</v>
      </c>
      <c r="O245" s="2">
        <v>0</v>
      </c>
      <c r="P245" s="2">
        <v>15</v>
      </c>
      <c r="Q245" s="2">
        <f t="shared" si="41"/>
        <v>7.5</v>
      </c>
      <c r="R245" s="2">
        <v>3</v>
      </c>
      <c r="S245" s="2"/>
    </row>
    <row r="246" spans="4:19" x14ac:dyDescent="0.3">
      <c r="D246" s="2">
        <v>243</v>
      </c>
      <c r="E246" s="2">
        <f t="shared" ref="E246:E266" si="50">E245+7.5</f>
        <v>1791</v>
      </c>
      <c r="F246" s="2">
        <v>0</v>
      </c>
      <c r="G246" s="2">
        <v>-15</v>
      </c>
      <c r="H246" s="2">
        <f t="shared" si="40"/>
        <v>7.5</v>
      </c>
      <c r="I246" s="2">
        <v>2</v>
      </c>
      <c r="J246" s="2"/>
      <c r="M246" s="2">
        <v>243</v>
      </c>
      <c r="N246" s="2">
        <f t="shared" ref="N246:N266" si="51">N245+7.5</f>
        <v>1791</v>
      </c>
      <c r="O246" s="2">
        <v>0</v>
      </c>
      <c r="P246" s="2">
        <v>15</v>
      </c>
      <c r="Q246" s="2">
        <f t="shared" si="41"/>
        <v>7.5</v>
      </c>
      <c r="R246" s="2">
        <v>2</v>
      </c>
      <c r="S246" s="2"/>
    </row>
    <row r="247" spans="4:19" x14ac:dyDescent="0.3">
      <c r="D247" s="2">
        <v>244</v>
      </c>
      <c r="E247" s="2">
        <f t="shared" si="50"/>
        <v>1798.5</v>
      </c>
      <c r="F247" s="2">
        <v>0</v>
      </c>
      <c r="G247" s="2">
        <v>-15</v>
      </c>
      <c r="H247" s="2">
        <f t="shared" si="40"/>
        <v>7.5</v>
      </c>
      <c r="I247" s="2">
        <v>5</v>
      </c>
      <c r="J247" s="2">
        <v>5</v>
      </c>
      <c r="M247" s="2">
        <v>244</v>
      </c>
      <c r="N247" s="2">
        <f t="shared" si="51"/>
        <v>1798.5</v>
      </c>
      <c r="O247" s="2">
        <v>0</v>
      </c>
      <c r="P247" s="2">
        <v>15</v>
      </c>
      <c r="Q247" s="2">
        <f t="shared" si="41"/>
        <v>7.5</v>
      </c>
      <c r="R247" s="2">
        <v>5</v>
      </c>
      <c r="S247" s="2"/>
    </row>
    <row r="248" spans="4:19" x14ac:dyDescent="0.3">
      <c r="D248" s="2">
        <v>245</v>
      </c>
      <c r="E248" s="2">
        <f t="shared" si="50"/>
        <v>1806</v>
      </c>
      <c r="F248" s="2">
        <v>0</v>
      </c>
      <c r="G248" s="2">
        <v>-15</v>
      </c>
      <c r="H248" s="2">
        <f t="shared" si="40"/>
        <v>7.5</v>
      </c>
      <c r="I248" s="2">
        <v>2</v>
      </c>
      <c r="J248" s="2"/>
      <c r="M248" s="2">
        <v>245</v>
      </c>
      <c r="N248" s="2">
        <f t="shared" si="51"/>
        <v>1806</v>
      </c>
      <c r="O248" s="2">
        <v>0</v>
      </c>
      <c r="P248" s="2">
        <v>15</v>
      </c>
      <c r="Q248" s="2">
        <f t="shared" si="41"/>
        <v>7.5</v>
      </c>
      <c r="R248" s="2">
        <v>2</v>
      </c>
      <c r="S248" s="2"/>
    </row>
    <row r="249" spans="4:19" x14ac:dyDescent="0.3">
      <c r="D249" s="2">
        <v>246</v>
      </c>
      <c r="E249" s="2">
        <f t="shared" si="50"/>
        <v>1813.5</v>
      </c>
      <c r="F249" s="2">
        <v>0</v>
      </c>
      <c r="G249" s="2">
        <v>-15</v>
      </c>
      <c r="H249" s="2">
        <f t="shared" si="40"/>
        <v>7.5</v>
      </c>
      <c r="I249" s="2">
        <v>3</v>
      </c>
      <c r="J249" s="2"/>
      <c r="M249" s="2">
        <v>246</v>
      </c>
      <c r="N249" s="2">
        <f t="shared" si="51"/>
        <v>1813.5</v>
      </c>
      <c r="O249" s="2">
        <v>0</v>
      </c>
      <c r="P249" s="2">
        <v>15</v>
      </c>
      <c r="Q249" s="2">
        <f t="shared" si="41"/>
        <v>7.5</v>
      </c>
      <c r="R249" s="2">
        <v>3</v>
      </c>
      <c r="S249" s="2"/>
    </row>
    <row r="250" spans="4:19" x14ac:dyDescent="0.3">
      <c r="D250" s="2">
        <v>247</v>
      </c>
      <c r="E250" s="2">
        <f t="shared" si="50"/>
        <v>1821</v>
      </c>
      <c r="F250" s="2">
        <v>0</v>
      </c>
      <c r="G250" s="2">
        <v>-15</v>
      </c>
      <c r="H250" s="2">
        <f t="shared" si="40"/>
        <v>7.5</v>
      </c>
      <c r="I250" s="2">
        <v>2</v>
      </c>
      <c r="J250" s="2"/>
      <c r="M250" s="2">
        <v>247</v>
      </c>
      <c r="N250" s="2">
        <f t="shared" si="51"/>
        <v>1821</v>
      </c>
      <c r="O250" s="2">
        <v>0</v>
      </c>
      <c r="P250" s="2">
        <v>15</v>
      </c>
      <c r="Q250" s="2">
        <f t="shared" si="41"/>
        <v>7.5</v>
      </c>
      <c r="R250" s="2">
        <v>2</v>
      </c>
      <c r="S250" s="2"/>
    </row>
    <row r="251" spans="4:19" x14ac:dyDescent="0.3">
      <c r="D251" s="2">
        <v>248</v>
      </c>
      <c r="E251" s="2">
        <f t="shared" si="50"/>
        <v>1828.5</v>
      </c>
      <c r="F251" s="2">
        <v>0</v>
      </c>
      <c r="G251" s="2">
        <v>-15</v>
      </c>
      <c r="H251" s="2">
        <f t="shared" si="40"/>
        <v>7.5</v>
      </c>
      <c r="I251" s="2">
        <v>5</v>
      </c>
      <c r="J251" s="2">
        <v>5</v>
      </c>
      <c r="M251" s="2">
        <v>248</v>
      </c>
      <c r="N251" s="2">
        <f t="shared" si="51"/>
        <v>1828.5</v>
      </c>
      <c r="O251" s="2">
        <v>0</v>
      </c>
      <c r="P251" s="2">
        <v>15</v>
      </c>
      <c r="Q251" s="2">
        <f t="shared" si="41"/>
        <v>7.5</v>
      </c>
      <c r="R251" s="2">
        <v>5</v>
      </c>
      <c r="S251" s="2"/>
    </row>
    <row r="252" spans="4:19" x14ac:dyDescent="0.3">
      <c r="D252" s="2">
        <v>249</v>
      </c>
      <c r="E252" s="2">
        <f t="shared" si="50"/>
        <v>1836</v>
      </c>
      <c r="F252" s="2">
        <v>0</v>
      </c>
      <c r="G252" s="2">
        <v>-15</v>
      </c>
      <c r="H252" s="2">
        <f t="shared" si="40"/>
        <v>7.5</v>
      </c>
      <c r="I252" s="2">
        <v>2</v>
      </c>
      <c r="J252" s="2"/>
      <c r="M252" s="2">
        <v>249</v>
      </c>
      <c r="N252" s="2">
        <f t="shared" si="51"/>
        <v>1836</v>
      </c>
      <c r="O252" s="2">
        <v>0</v>
      </c>
      <c r="P252" s="2">
        <v>15</v>
      </c>
      <c r="Q252" s="2">
        <f t="shared" si="41"/>
        <v>7.5</v>
      </c>
      <c r="R252" s="2">
        <v>2</v>
      </c>
      <c r="S252" s="2"/>
    </row>
    <row r="253" spans="4:19" x14ac:dyDescent="0.3">
      <c r="D253" s="2">
        <v>250</v>
      </c>
      <c r="E253" s="2">
        <f t="shared" si="50"/>
        <v>1843.5</v>
      </c>
      <c r="F253" s="2">
        <v>0</v>
      </c>
      <c r="G253" s="2">
        <v>-15</v>
      </c>
      <c r="H253" s="2">
        <f t="shared" si="40"/>
        <v>7.5</v>
      </c>
      <c r="I253" s="2">
        <v>3</v>
      </c>
      <c r="J253" s="2"/>
      <c r="M253" s="2">
        <v>250</v>
      </c>
      <c r="N253" s="2">
        <f t="shared" si="51"/>
        <v>1843.5</v>
      </c>
      <c r="O253" s="2">
        <v>0</v>
      </c>
      <c r="P253" s="2">
        <v>15</v>
      </c>
      <c r="Q253" s="2">
        <f t="shared" si="41"/>
        <v>7.5</v>
      </c>
      <c r="R253" s="2">
        <v>3</v>
      </c>
      <c r="S253" s="2"/>
    </row>
    <row r="254" spans="4:19" x14ac:dyDescent="0.3">
      <c r="D254" s="2">
        <v>251</v>
      </c>
      <c r="E254" s="2">
        <f t="shared" si="50"/>
        <v>1851</v>
      </c>
      <c r="F254" s="2">
        <v>0</v>
      </c>
      <c r="G254" s="2">
        <v>-15</v>
      </c>
      <c r="H254" s="2">
        <f t="shared" si="40"/>
        <v>7.5</v>
      </c>
      <c r="I254" s="2">
        <v>2</v>
      </c>
      <c r="J254" s="2"/>
      <c r="M254" s="2">
        <v>251</v>
      </c>
      <c r="N254" s="2">
        <f t="shared" si="51"/>
        <v>1851</v>
      </c>
      <c r="O254" s="2">
        <v>0</v>
      </c>
      <c r="P254" s="2">
        <v>15</v>
      </c>
      <c r="Q254" s="2">
        <f t="shared" si="41"/>
        <v>7.5</v>
      </c>
      <c r="R254" s="2">
        <v>2</v>
      </c>
      <c r="S254" s="2"/>
    </row>
    <row r="255" spans="4:19" x14ac:dyDescent="0.3">
      <c r="D255" s="2">
        <v>252</v>
      </c>
      <c r="E255" s="2">
        <f t="shared" si="50"/>
        <v>1858.5</v>
      </c>
      <c r="F255" s="2">
        <v>0</v>
      </c>
      <c r="G255" s="2">
        <v>-15</v>
      </c>
      <c r="H255" s="2">
        <f t="shared" si="40"/>
        <v>7.5</v>
      </c>
      <c r="I255" s="2">
        <v>5</v>
      </c>
      <c r="J255" s="2">
        <v>5</v>
      </c>
      <c r="M255" s="2">
        <v>252</v>
      </c>
      <c r="N255" s="2">
        <f t="shared" si="51"/>
        <v>1858.5</v>
      </c>
      <c r="O255" s="2">
        <v>0</v>
      </c>
      <c r="P255" s="2">
        <v>15</v>
      </c>
      <c r="Q255" s="2">
        <f t="shared" si="41"/>
        <v>7.5</v>
      </c>
      <c r="R255" s="2">
        <v>5</v>
      </c>
      <c r="S255" s="2"/>
    </row>
    <row r="256" spans="4:19" x14ac:dyDescent="0.3">
      <c r="D256" s="2">
        <v>253</v>
      </c>
      <c r="E256" s="2">
        <f t="shared" si="50"/>
        <v>1866</v>
      </c>
      <c r="F256" s="2">
        <v>0</v>
      </c>
      <c r="G256" s="2">
        <v>-15</v>
      </c>
      <c r="H256" s="2">
        <f t="shared" si="40"/>
        <v>7.5</v>
      </c>
      <c r="I256" s="2">
        <v>2</v>
      </c>
      <c r="J256" s="2"/>
      <c r="M256" s="2">
        <v>253</v>
      </c>
      <c r="N256" s="2">
        <f t="shared" si="51"/>
        <v>1866</v>
      </c>
      <c r="O256" s="2">
        <v>0</v>
      </c>
      <c r="P256" s="2">
        <v>15</v>
      </c>
      <c r="Q256" s="2">
        <f t="shared" si="41"/>
        <v>7.5</v>
      </c>
      <c r="R256" s="2">
        <v>2</v>
      </c>
      <c r="S256" s="2"/>
    </row>
    <row r="257" spans="4:19" x14ac:dyDescent="0.3">
      <c r="D257" s="2">
        <v>254</v>
      </c>
      <c r="E257" s="2">
        <f t="shared" si="50"/>
        <v>1873.5</v>
      </c>
      <c r="F257" s="2">
        <v>0</v>
      </c>
      <c r="G257" s="2">
        <v>-15</v>
      </c>
      <c r="H257" s="2">
        <f t="shared" si="40"/>
        <v>7.5</v>
      </c>
      <c r="I257" s="2">
        <v>3</v>
      </c>
      <c r="J257" s="2"/>
      <c r="M257" s="2">
        <v>254</v>
      </c>
      <c r="N257" s="2">
        <f t="shared" si="51"/>
        <v>1873.5</v>
      </c>
      <c r="O257" s="2">
        <v>0</v>
      </c>
      <c r="P257" s="2">
        <v>15</v>
      </c>
      <c r="Q257" s="2">
        <f t="shared" si="41"/>
        <v>7.5</v>
      </c>
      <c r="R257" s="2">
        <v>3</v>
      </c>
      <c r="S257" s="2"/>
    </row>
    <row r="258" spans="4:19" x14ac:dyDescent="0.3">
      <c r="D258" s="2">
        <v>255</v>
      </c>
      <c r="E258" s="2">
        <f t="shared" si="50"/>
        <v>1881</v>
      </c>
      <c r="F258" s="2">
        <v>0</v>
      </c>
      <c r="G258" s="2">
        <v>-15</v>
      </c>
      <c r="H258" s="2">
        <f t="shared" si="40"/>
        <v>7.5</v>
      </c>
      <c r="I258" s="2">
        <v>2</v>
      </c>
      <c r="J258" s="2"/>
      <c r="M258" s="2">
        <v>255</v>
      </c>
      <c r="N258" s="2">
        <f t="shared" si="51"/>
        <v>1881</v>
      </c>
      <c r="O258" s="2">
        <v>0</v>
      </c>
      <c r="P258" s="2">
        <v>15</v>
      </c>
      <c r="Q258" s="2">
        <f t="shared" si="41"/>
        <v>7.5</v>
      </c>
      <c r="R258" s="2">
        <v>2</v>
      </c>
      <c r="S258" s="2"/>
    </row>
    <row r="259" spans="4:19" x14ac:dyDescent="0.3">
      <c r="D259" s="2">
        <v>256</v>
      </c>
      <c r="E259" s="2">
        <f t="shared" si="50"/>
        <v>1888.5</v>
      </c>
      <c r="F259" s="2">
        <v>0</v>
      </c>
      <c r="G259" s="2">
        <v>-15</v>
      </c>
      <c r="H259" s="2">
        <f t="shared" si="40"/>
        <v>7.5</v>
      </c>
      <c r="I259" s="2">
        <v>5</v>
      </c>
      <c r="J259" s="2">
        <v>5</v>
      </c>
      <c r="M259" s="2">
        <v>256</v>
      </c>
      <c r="N259" s="2">
        <f t="shared" si="51"/>
        <v>1888.5</v>
      </c>
      <c r="O259" s="2">
        <v>0</v>
      </c>
      <c r="P259" s="2">
        <v>15</v>
      </c>
      <c r="Q259" s="2">
        <f t="shared" si="41"/>
        <v>7.5</v>
      </c>
      <c r="R259" s="2">
        <v>5</v>
      </c>
      <c r="S259" s="2"/>
    </row>
    <row r="260" spans="4:19" x14ac:dyDescent="0.3">
      <c r="D260" s="2">
        <v>257</v>
      </c>
      <c r="E260" s="2">
        <f t="shared" si="50"/>
        <v>1896</v>
      </c>
      <c r="F260" s="2">
        <v>0</v>
      </c>
      <c r="G260" s="2">
        <v>-15</v>
      </c>
      <c r="H260" s="2">
        <f t="shared" si="40"/>
        <v>7.5</v>
      </c>
      <c r="I260" s="2">
        <v>2</v>
      </c>
      <c r="J260" s="2"/>
      <c r="M260" s="2">
        <v>257</v>
      </c>
      <c r="N260" s="2">
        <f t="shared" si="51"/>
        <v>1896</v>
      </c>
      <c r="O260" s="2">
        <v>0</v>
      </c>
      <c r="P260" s="2">
        <v>15</v>
      </c>
      <c r="Q260" s="2">
        <f t="shared" si="41"/>
        <v>7.5</v>
      </c>
      <c r="R260" s="2">
        <v>2</v>
      </c>
      <c r="S260" s="2"/>
    </row>
    <row r="261" spans="4:19" x14ac:dyDescent="0.3">
      <c r="D261" s="2">
        <v>258</v>
      </c>
      <c r="E261" s="2">
        <f t="shared" si="50"/>
        <v>1903.5</v>
      </c>
      <c r="F261" s="2">
        <v>0</v>
      </c>
      <c r="G261" s="2">
        <v>-15</v>
      </c>
      <c r="H261" s="2">
        <f t="shared" ref="H261:H324" si="52">SQRT((E262-E261)^2+(F262-F261)^2+(G262-G261)^2)</f>
        <v>7.5</v>
      </c>
      <c r="I261" s="2">
        <v>3</v>
      </c>
      <c r="J261" s="2"/>
      <c r="M261" s="2">
        <v>258</v>
      </c>
      <c r="N261" s="2">
        <f t="shared" si="51"/>
        <v>1903.5</v>
      </c>
      <c r="O261" s="2">
        <v>0</v>
      </c>
      <c r="P261" s="2">
        <v>15</v>
      </c>
      <c r="Q261" s="2">
        <f t="shared" ref="Q261:Q324" si="53">SQRT((N262-N261)^2+(O262-O261)^2+(P262-P261)^2)</f>
        <v>7.5</v>
      </c>
      <c r="R261" s="2">
        <v>3</v>
      </c>
      <c r="S261" s="2"/>
    </row>
    <row r="262" spans="4:19" x14ac:dyDescent="0.3">
      <c r="D262" s="2">
        <v>259</v>
      </c>
      <c r="E262" s="2">
        <f t="shared" si="50"/>
        <v>1911</v>
      </c>
      <c r="F262" s="2">
        <v>0</v>
      </c>
      <c r="G262" s="2">
        <v>-15</v>
      </c>
      <c r="H262" s="2">
        <f t="shared" si="52"/>
        <v>7.5</v>
      </c>
      <c r="I262" s="2">
        <v>2</v>
      </c>
      <c r="J262" s="2"/>
      <c r="M262" s="2">
        <v>259</v>
      </c>
      <c r="N262" s="2">
        <f t="shared" si="51"/>
        <v>1911</v>
      </c>
      <c r="O262" s="2">
        <v>0</v>
      </c>
      <c r="P262" s="2">
        <v>15</v>
      </c>
      <c r="Q262" s="2">
        <f t="shared" si="53"/>
        <v>7.5</v>
      </c>
      <c r="R262" s="2">
        <v>2</v>
      </c>
      <c r="S262" s="2"/>
    </row>
    <row r="263" spans="4:19" x14ac:dyDescent="0.3">
      <c r="D263" s="2">
        <v>260</v>
      </c>
      <c r="E263" s="2">
        <f t="shared" si="50"/>
        <v>1918.5</v>
      </c>
      <c r="F263" s="2">
        <v>0</v>
      </c>
      <c r="G263" s="2">
        <v>-15</v>
      </c>
      <c r="H263" s="2">
        <f t="shared" si="52"/>
        <v>7.5</v>
      </c>
      <c r="I263" s="2">
        <v>5</v>
      </c>
      <c r="J263" s="2">
        <v>5</v>
      </c>
      <c r="M263" s="2">
        <v>260</v>
      </c>
      <c r="N263" s="2">
        <f t="shared" si="51"/>
        <v>1918.5</v>
      </c>
      <c r="O263" s="2">
        <v>0</v>
      </c>
      <c r="P263" s="2">
        <v>15</v>
      </c>
      <c r="Q263" s="2">
        <f t="shared" si="53"/>
        <v>7.5</v>
      </c>
      <c r="R263" s="2">
        <v>5</v>
      </c>
      <c r="S263" s="2"/>
    </row>
    <row r="264" spans="4:19" x14ac:dyDescent="0.3">
      <c r="D264" s="2">
        <v>261</v>
      </c>
      <c r="E264" s="2">
        <f t="shared" si="50"/>
        <v>1926</v>
      </c>
      <c r="F264" s="2">
        <v>0</v>
      </c>
      <c r="G264" s="2">
        <v>-15</v>
      </c>
      <c r="H264" s="2">
        <f t="shared" si="52"/>
        <v>7.5</v>
      </c>
      <c r="I264" s="2">
        <v>2</v>
      </c>
      <c r="J264" s="2"/>
      <c r="M264" s="2">
        <v>261</v>
      </c>
      <c r="N264" s="2">
        <f t="shared" si="51"/>
        <v>1926</v>
      </c>
      <c r="O264" s="2">
        <v>0</v>
      </c>
      <c r="P264" s="2">
        <v>15</v>
      </c>
      <c r="Q264" s="2">
        <f t="shared" si="53"/>
        <v>7.5</v>
      </c>
      <c r="R264" s="2">
        <v>2</v>
      </c>
      <c r="S264" s="2"/>
    </row>
    <row r="265" spans="4:19" x14ac:dyDescent="0.3">
      <c r="D265" s="2">
        <v>262</v>
      </c>
      <c r="E265" s="2">
        <f t="shared" si="50"/>
        <v>1933.5</v>
      </c>
      <c r="F265" s="2">
        <v>0</v>
      </c>
      <c r="G265" s="2">
        <v>-15</v>
      </c>
      <c r="H265" s="2">
        <f t="shared" si="52"/>
        <v>7.5</v>
      </c>
      <c r="I265" s="2">
        <v>3</v>
      </c>
      <c r="J265" s="2"/>
      <c r="M265" s="2">
        <v>262</v>
      </c>
      <c r="N265" s="2">
        <f t="shared" si="51"/>
        <v>1933.5</v>
      </c>
      <c r="O265" s="2">
        <v>0</v>
      </c>
      <c r="P265" s="2">
        <v>15</v>
      </c>
      <c r="Q265" s="2">
        <f t="shared" si="53"/>
        <v>7.5</v>
      </c>
      <c r="R265" s="2">
        <v>3</v>
      </c>
      <c r="S265" s="2"/>
    </row>
    <row r="266" spans="4:19" x14ac:dyDescent="0.3">
      <c r="D266" s="2">
        <v>263</v>
      </c>
      <c r="E266" s="2">
        <f t="shared" si="50"/>
        <v>1941</v>
      </c>
      <c r="F266" s="2">
        <v>0</v>
      </c>
      <c r="G266" s="2">
        <v>-15</v>
      </c>
      <c r="H266" s="2">
        <f t="shared" si="52"/>
        <v>6</v>
      </c>
      <c r="I266" s="2">
        <v>2</v>
      </c>
      <c r="J266" s="2"/>
      <c r="M266" s="2">
        <v>263</v>
      </c>
      <c r="N266" s="2">
        <f t="shared" si="51"/>
        <v>1941</v>
      </c>
      <c r="O266" s="2">
        <v>0</v>
      </c>
      <c r="P266" s="2">
        <v>15</v>
      </c>
      <c r="Q266" s="2">
        <f t="shared" si="53"/>
        <v>6</v>
      </c>
      <c r="R266" s="2">
        <v>2</v>
      </c>
      <c r="S266" s="2"/>
    </row>
    <row r="267" spans="4:19" x14ac:dyDescent="0.3">
      <c r="D267" s="2">
        <v>264</v>
      </c>
      <c r="E267" s="2">
        <f>E266+6</f>
        <v>1947</v>
      </c>
      <c r="F267" s="2">
        <v>0</v>
      </c>
      <c r="G267" s="2">
        <v>-15</v>
      </c>
      <c r="H267" s="2">
        <f t="shared" si="52"/>
        <v>6</v>
      </c>
      <c r="I267" s="2">
        <v>5</v>
      </c>
      <c r="J267" s="2">
        <v>5</v>
      </c>
      <c r="M267" s="2">
        <v>264</v>
      </c>
      <c r="N267" s="2">
        <f>N266+6</f>
        <v>1947</v>
      </c>
      <c r="O267" s="2">
        <v>0</v>
      </c>
      <c r="P267" s="2">
        <v>15</v>
      </c>
      <c r="Q267" s="2">
        <f t="shared" si="53"/>
        <v>6</v>
      </c>
      <c r="R267" s="2">
        <v>5</v>
      </c>
      <c r="S267" s="2"/>
    </row>
    <row r="268" spans="4:19" x14ac:dyDescent="0.3">
      <c r="D268" s="2">
        <v>265</v>
      </c>
      <c r="E268" s="2">
        <f t="shared" ref="E268:E269" si="54">E267+6</f>
        <v>1953</v>
      </c>
      <c r="F268" s="2">
        <v>0</v>
      </c>
      <c r="G268" s="2">
        <v>-15</v>
      </c>
      <c r="H268" s="2">
        <f t="shared" si="52"/>
        <v>6</v>
      </c>
      <c r="I268" s="2">
        <v>3</v>
      </c>
      <c r="J268" s="2"/>
      <c r="M268" s="2">
        <v>265</v>
      </c>
      <c r="N268" s="2">
        <f t="shared" ref="N268:N269" si="55">N267+6</f>
        <v>1953</v>
      </c>
      <c r="O268" s="2">
        <v>0</v>
      </c>
      <c r="P268" s="2">
        <v>15</v>
      </c>
      <c r="Q268" s="2">
        <f t="shared" si="53"/>
        <v>6</v>
      </c>
      <c r="R268" s="2">
        <v>3</v>
      </c>
      <c r="S268" s="2"/>
    </row>
    <row r="269" spans="4:19" x14ac:dyDescent="0.3">
      <c r="D269" s="2">
        <v>266</v>
      </c>
      <c r="E269" s="2">
        <f t="shared" si="54"/>
        <v>1959</v>
      </c>
      <c r="F269" s="2">
        <v>0</v>
      </c>
      <c r="G269" s="2">
        <v>-15</v>
      </c>
      <c r="H269" s="2">
        <f t="shared" si="52"/>
        <v>7</v>
      </c>
      <c r="I269" s="2">
        <v>4</v>
      </c>
      <c r="J269" s="2"/>
      <c r="M269" s="2">
        <v>266</v>
      </c>
      <c r="N269" s="2">
        <f t="shared" si="55"/>
        <v>1959</v>
      </c>
      <c r="O269" s="2">
        <v>0</v>
      </c>
      <c r="P269" s="2">
        <v>15</v>
      </c>
      <c r="Q269" s="2">
        <f t="shared" si="53"/>
        <v>7</v>
      </c>
      <c r="R269" s="2">
        <v>4</v>
      </c>
      <c r="S269" s="2"/>
    </row>
    <row r="270" spans="4:19" x14ac:dyDescent="0.3">
      <c r="D270" s="2">
        <v>267</v>
      </c>
      <c r="E270" s="2">
        <f>E269+7</f>
        <v>1966</v>
      </c>
      <c r="F270" s="2">
        <v>0</v>
      </c>
      <c r="G270" s="2">
        <v>-15</v>
      </c>
      <c r="H270" s="2">
        <f t="shared" si="52"/>
        <v>8</v>
      </c>
      <c r="I270" s="2">
        <v>3</v>
      </c>
      <c r="J270" s="2"/>
      <c r="M270" s="2">
        <v>267</v>
      </c>
      <c r="N270" s="2">
        <f>N269+7</f>
        <v>1966</v>
      </c>
      <c r="O270" s="2">
        <v>0</v>
      </c>
      <c r="P270" s="2">
        <v>15</v>
      </c>
      <c r="Q270" s="2">
        <f t="shared" si="53"/>
        <v>8</v>
      </c>
      <c r="R270" s="2">
        <v>3</v>
      </c>
      <c r="S270" s="2"/>
    </row>
    <row r="271" spans="4:19" x14ac:dyDescent="0.3">
      <c r="D271" s="2">
        <v>268</v>
      </c>
      <c r="E271" s="2">
        <f>E270+8</f>
        <v>1974</v>
      </c>
      <c r="F271" s="2">
        <v>0</v>
      </c>
      <c r="G271" s="2">
        <v>-15</v>
      </c>
      <c r="H271" s="2">
        <f t="shared" si="52"/>
        <v>8</v>
      </c>
      <c r="I271" s="2">
        <v>5</v>
      </c>
      <c r="J271" s="2">
        <v>5</v>
      </c>
      <c r="M271" s="2">
        <v>268</v>
      </c>
      <c r="N271" s="2">
        <f>N270+8</f>
        <v>1974</v>
      </c>
      <c r="O271" s="2">
        <v>0</v>
      </c>
      <c r="P271" s="2">
        <v>15</v>
      </c>
      <c r="Q271" s="2">
        <f t="shared" si="53"/>
        <v>8</v>
      </c>
      <c r="R271" s="2">
        <v>5</v>
      </c>
      <c r="S271" s="2"/>
    </row>
    <row r="272" spans="4:19" x14ac:dyDescent="0.3">
      <c r="D272" s="2">
        <v>269</v>
      </c>
      <c r="E272" s="2">
        <f t="shared" ref="E272:E274" si="56">E271+8</f>
        <v>1982</v>
      </c>
      <c r="F272" s="2">
        <v>0</v>
      </c>
      <c r="G272" s="2">
        <v>-15</v>
      </c>
      <c r="H272" s="2">
        <f t="shared" si="52"/>
        <v>8</v>
      </c>
      <c r="I272" s="2">
        <v>3</v>
      </c>
      <c r="J272" s="2"/>
      <c r="M272" s="2">
        <v>269</v>
      </c>
      <c r="N272" s="2">
        <f t="shared" ref="N272:N274" si="57">N271+8</f>
        <v>1982</v>
      </c>
      <c r="O272" s="2">
        <v>0</v>
      </c>
      <c r="P272" s="2">
        <v>15</v>
      </c>
      <c r="Q272" s="2">
        <f t="shared" si="53"/>
        <v>8</v>
      </c>
      <c r="R272" s="2">
        <v>3</v>
      </c>
      <c r="S272" s="2"/>
    </row>
    <row r="273" spans="4:19" x14ac:dyDescent="0.3">
      <c r="D273" s="2">
        <v>270</v>
      </c>
      <c r="E273" s="2">
        <f t="shared" si="56"/>
        <v>1990</v>
      </c>
      <c r="F273" s="2">
        <v>0</v>
      </c>
      <c r="G273" s="2">
        <v>-15</v>
      </c>
      <c r="H273" s="2">
        <f t="shared" si="52"/>
        <v>8</v>
      </c>
      <c r="I273" s="2">
        <v>3</v>
      </c>
      <c r="J273" s="2"/>
      <c r="M273" s="2">
        <v>270</v>
      </c>
      <c r="N273" s="2">
        <f t="shared" si="57"/>
        <v>1990</v>
      </c>
      <c r="O273" s="2">
        <v>0</v>
      </c>
      <c r="P273" s="2">
        <v>15</v>
      </c>
      <c r="Q273" s="2">
        <f t="shared" si="53"/>
        <v>8</v>
      </c>
      <c r="R273" s="2">
        <v>3</v>
      </c>
      <c r="S273" s="2"/>
    </row>
    <row r="274" spans="4:19" x14ac:dyDescent="0.3">
      <c r="D274" s="2">
        <v>271</v>
      </c>
      <c r="E274" s="2">
        <f t="shared" si="56"/>
        <v>1998</v>
      </c>
      <c r="F274" s="2">
        <v>0</v>
      </c>
      <c r="G274" s="2">
        <v>-15</v>
      </c>
      <c r="H274" s="2">
        <f t="shared" si="52"/>
        <v>7</v>
      </c>
      <c r="I274" s="2">
        <v>3</v>
      </c>
      <c r="J274" s="2"/>
      <c r="M274" s="2">
        <v>271</v>
      </c>
      <c r="N274" s="2">
        <f t="shared" si="57"/>
        <v>1998</v>
      </c>
      <c r="O274" s="2">
        <v>0</v>
      </c>
      <c r="P274" s="2">
        <v>15</v>
      </c>
      <c r="Q274" s="2">
        <f t="shared" si="53"/>
        <v>7</v>
      </c>
      <c r="R274" s="2">
        <v>3</v>
      </c>
      <c r="S274" s="2"/>
    </row>
    <row r="275" spans="4:19" x14ac:dyDescent="0.3">
      <c r="D275" s="2">
        <v>272</v>
      </c>
      <c r="E275" s="2">
        <f>E274+7</f>
        <v>2005</v>
      </c>
      <c r="F275" s="2">
        <v>0</v>
      </c>
      <c r="G275" s="2">
        <v>-15</v>
      </c>
      <c r="H275" s="2">
        <f t="shared" si="52"/>
        <v>6</v>
      </c>
      <c r="I275" s="2">
        <v>4</v>
      </c>
      <c r="J275" s="2">
        <v>5</v>
      </c>
      <c r="M275" s="2">
        <v>272</v>
      </c>
      <c r="N275" s="2">
        <f>N274+7</f>
        <v>2005</v>
      </c>
      <c r="O275" s="2">
        <v>0</v>
      </c>
      <c r="P275" s="2">
        <v>15</v>
      </c>
      <c r="Q275" s="2">
        <f t="shared" si="53"/>
        <v>6</v>
      </c>
      <c r="R275" s="2">
        <v>4</v>
      </c>
      <c r="S275" s="2"/>
    </row>
    <row r="276" spans="4:19" x14ac:dyDescent="0.3">
      <c r="D276" s="2">
        <v>273</v>
      </c>
      <c r="E276" s="2">
        <f>E275+6</f>
        <v>2011</v>
      </c>
      <c r="F276" s="2">
        <v>0</v>
      </c>
      <c r="G276" s="2">
        <v>-15</v>
      </c>
      <c r="H276" s="2">
        <f t="shared" si="52"/>
        <v>6</v>
      </c>
      <c r="I276" s="2">
        <v>3</v>
      </c>
      <c r="J276" s="2"/>
      <c r="M276" s="2">
        <v>273</v>
      </c>
      <c r="N276" s="2">
        <f>N275+6</f>
        <v>2011</v>
      </c>
      <c r="O276" s="2">
        <v>0</v>
      </c>
      <c r="P276" s="2">
        <v>15</v>
      </c>
      <c r="Q276" s="2">
        <f t="shared" si="53"/>
        <v>6</v>
      </c>
      <c r="R276" s="2">
        <v>3</v>
      </c>
      <c r="S276" s="2"/>
    </row>
    <row r="277" spans="4:19" x14ac:dyDescent="0.3">
      <c r="D277" s="2">
        <v>274</v>
      </c>
      <c r="E277" s="2">
        <f t="shared" ref="E277:E278" si="58">E276+6</f>
        <v>2017</v>
      </c>
      <c r="F277" s="2">
        <v>0</v>
      </c>
      <c r="G277" s="2">
        <v>-15</v>
      </c>
      <c r="H277" s="2">
        <f t="shared" si="52"/>
        <v>6</v>
      </c>
      <c r="I277" s="2">
        <v>3</v>
      </c>
      <c r="J277" s="2"/>
      <c r="M277" s="2">
        <v>274</v>
      </c>
      <c r="N277" s="2">
        <f t="shared" ref="N277:N278" si="59">N276+6</f>
        <v>2017</v>
      </c>
      <c r="O277" s="2">
        <v>0</v>
      </c>
      <c r="P277" s="2">
        <v>15</v>
      </c>
      <c r="Q277" s="2">
        <f t="shared" si="53"/>
        <v>6</v>
      </c>
      <c r="R277" s="2">
        <v>3</v>
      </c>
      <c r="S277" s="2"/>
    </row>
    <row r="278" spans="4:19" x14ac:dyDescent="0.3">
      <c r="D278" s="2">
        <v>275</v>
      </c>
      <c r="E278" s="2">
        <f t="shared" si="58"/>
        <v>2023</v>
      </c>
      <c r="F278" s="2">
        <v>0</v>
      </c>
      <c r="G278" s="2">
        <v>-15</v>
      </c>
      <c r="H278" s="2">
        <f t="shared" si="52"/>
        <v>7.5</v>
      </c>
      <c r="I278" s="2">
        <v>2</v>
      </c>
      <c r="J278" s="2"/>
      <c r="M278" s="2">
        <v>275</v>
      </c>
      <c r="N278" s="2">
        <f t="shared" si="59"/>
        <v>2023</v>
      </c>
      <c r="O278" s="2">
        <v>0</v>
      </c>
      <c r="P278" s="2">
        <v>15</v>
      </c>
      <c r="Q278" s="2">
        <f t="shared" si="53"/>
        <v>7.5</v>
      </c>
      <c r="R278" s="2">
        <v>2</v>
      </c>
      <c r="S278" s="2"/>
    </row>
    <row r="279" spans="4:19" x14ac:dyDescent="0.3">
      <c r="D279" s="2">
        <v>276</v>
      </c>
      <c r="E279" s="2">
        <f>E278+7.5</f>
        <v>2030.5</v>
      </c>
      <c r="F279" s="2">
        <v>0</v>
      </c>
      <c r="G279" s="2">
        <v>-15</v>
      </c>
      <c r="H279" s="2">
        <f t="shared" si="52"/>
        <v>7.5</v>
      </c>
      <c r="I279" s="2">
        <v>5</v>
      </c>
      <c r="J279" s="2">
        <v>5</v>
      </c>
      <c r="M279" s="2">
        <v>276</v>
      </c>
      <c r="N279" s="2">
        <f>N278+7.5</f>
        <v>2030.5</v>
      </c>
      <c r="O279" s="2">
        <v>0</v>
      </c>
      <c r="P279" s="2">
        <v>15</v>
      </c>
      <c r="Q279" s="2">
        <f t="shared" si="53"/>
        <v>7.5</v>
      </c>
      <c r="R279" s="2">
        <v>5</v>
      </c>
      <c r="S279" s="2"/>
    </row>
    <row r="280" spans="4:19" x14ac:dyDescent="0.3">
      <c r="D280" s="2">
        <v>277</v>
      </c>
      <c r="E280" s="2">
        <f t="shared" ref="E280:E300" si="60">E279+7.5</f>
        <v>2038</v>
      </c>
      <c r="F280" s="2">
        <v>0</v>
      </c>
      <c r="G280" s="2">
        <v>-15</v>
      </c>
      <c r="H280" s="2">
        <f t="shared" si="52"/>
        <v>7.5</v>
      </c>
      <c r="I280" s="2">
        <v>2</v>
      </c>
      <c r="J280" s="2"/>
      <c r="M280" s="2">
        <v>277</v>
      </c>
      <c r="N280" s="2">
        <f t="shared" ref="N280:N300" si="61">N279+7.5</f>
        <v>2038</v>
      </c>
      <c r="O280" s="2">
        <v>0</v>
      </c>
      <c r="P280" s="2">
        <v>15</v>
      </c>
      <c r="Q280" s="2">
        <f t="shared" si="53"/>
        <v>7.5</v>
      </c>
      <c r="R280" s="2">
        <v>2</v>
      </c>
      <c r="S280" s="2"/>
    </row>
    <row r="281" spans="4:19" x14ac:dyDescent="0.3">
      <c r="D281" s="2">
        <v>278</v>
      </c>
      <c r="E281" s="2">
        <f t="shared" si="60"/>
        <v>2045.5</v>
      </c>
      <c r="F281" s="2">
        <v>0</v>
      </c>
      <c r="G281" s="2">
        <v>-15</v>
      </c>
      <c r="H281" s="2">
        <f t="shared" si="52"/>
        <v>7.5</v>
      </c>
      <c r="I281" s="2">
        <v>3</v>
      </c>
      <c r="J281" s="2"/>
      <c r="M281" s="2">
        <v>278</v>
      </c>
      <c r="N281" s="2">
        <f t="shared" si="61"/>
        <v>2045.5</v>
      </c>
      <c r="O281" s="2">
        <v>0</v>
      </c>
      <c r="P281" s="2">
        <v>15</v>
      </c>
      <c r="Q281" s="2">
        <f t="shared" si="53"/>
        <v>7.5</v>
      </c>
      <c r="R281" s="2">
        <v>3</v>
      </c>
      <c r="S281" s="2"/>
    </row>
    <row r="282" spans="4:19" x14ac:dyDescent="0.3">
      <c r="D282" s="2">
        <v>279</v>
      </c>
      <c r="E282" s="2">
        <f t="shared" si="60"/>
        <v>2053</v>
      </c>
      <c r="F282" s="2">
        <v>0</v>
      </c>
      <c r="G282" s="2">
        <v>-15</v>
      </c>
      <c r="H282" s="2">
        <f t="shared" si="52"/>
        <v>7.5</v>
      </c>
      <c r="I282" s="2">
        <v>2</v>
      </c>
      <c r="J282" s="2"/>
      <c r="M282" s="2">
        <v>279</v>
      </c>
      <c r="N282" s="2">
        <f t="shared" si="61"/>
        <v>2053</v>
      </c>
      <c r="O282" s="2">
        <v>0</v>
      </c>
      <c r="P282" s="2">
        <v>15</v>
      </c>
      <c r="Q282" s="2">
        <f t="shared" si="53"/>
        <v>7.5</v>
      </c>
      <c r="R282" s="2">
        <v>2</v>
      </c>
      <c r="S282" s="2"/>
    </row>
    <row r="283" spans="4:19" x14ac:dyDescent="0.3">
      <c r="D283" s="2">
        <v>280</v>
      </c>
      <c r="E283" s="2">
        <f t="shared" si="60"/>
        <v>2060.5</v>
      </c>
      <c r="F283" s="2">
        <v>0</v>
      </c>
      <c r="G283" s="2">
        <v>-15</v>
      </c>
      <c r="H283" s="2">
        <f t="shared" si="52"/>
        <v>7.5</v>
      </c>
      <c r="I283" s="2">
        <v>5</v>
      </c>
      <c r="J283" s="2">
        <v>5</v>
      </c>
      <c r="M283" s="2">
        <v>280</v>
      </c>
      <c r="N283" s="2">
        <f t="shared" si="61"/>
        <v>2060.5</v>
      </c>
      <c r="O283" s="2">
        <v>0</v>
      </c>
      <c r="P283" s="2">
        <v>15</v>
      </c>
      <c r="Q283" s="2">
        <f t="shared" si="53"/>
        <v>7.5</v>
      </c>
      <c r="R283" s="2">
        <v>5</v>
      </c>
      <c r="S283" s="2"/>
    </row>
    <row r="284" spans="4:19" x14ac:dyDescent="0.3">
      <c r="D284" s="2">
        <v>281</v>
      </c>
      <c r="E284" s="2">
        <f t="shared" si="60"/>
        <v>2068</v>
      </c>
      <c r="F284" s="2">
        <v>0</v>
      </c>
      <c r="G284" s="2">
        <v>-15</v>
      </c>
      <c r="H284" s="2">
        <f t="shared" si="52"/>
        <v>7.5</v>
      </c>
      <c r="I284" s="2">
        <v>2</v>
      </c>
      <c r="J284" s="2"/>
      <c r="M284" s="2">
        <v>281</v>
      </c>
      <c r="N284" s="2">
        <f t="shared" si="61"/>
        <v>2068</v>
      </c>
      <c r="O284" s="2">
        <v>0</v>
      </c>
      <c r="P284" s="2">
        <v>15</v>
      </c>
      <c r="Q284" s="2">
        <f t="shared" si="53"/>
        <v>7.5</v>
      </c>
      <c r="R284" s="2">
        <v>2</v>
      </c>
      <c r="S284" s="2"/>
    </row>
    <row r="285" spans="4:19" x14ac:dyDescent="0.3">
      <c r="D285" s="2">
        <v>282</v>
      </c>
      <c r="E285" s="2">
        <f t="shared" si="60"/>
        <v>2075.5</v>
      </c>
      <c r="F285" s="2">
        <v>0</v>
      </c>
      <c r="G285" s="2">
        <v>-15</v>
      </c>
      <c r="H285" s="2">
        <f t="shared" si="52"/>
        <v>7.5</v>
      </c>
      <c r="I285" s="2">
        <v>3</v>
      </c>
      <c r="J285" s="2"/>
      <c r="M285" s="2">
        <v>282</v>
      </c>
      <c r="N285" s="2">
        <f t="shared" si="61"/>
        <v>2075.5</v>
      </c>
      <c r="O285" s="2">
        <v>0</v>
      </c>
      <c r="P285" s="2">
        <v>15</v>
      </c>
      <c r="Q285" s="2">
        <f t="shared" si="53"/>
        <v>7.5</v>
      </c>
      <c r="R285" s="2">
        <v>3</v>
      </c>
      <c r="S285" s="2"/>
    </row>
    <row r="286" spans="4:19" x14ac:dyDescent="0.3">
      <c r="D286" s="2">
        <v>283</v>
      </c>
      <c r="E286" s="2">
        <f t="shared" si="60"/>
        <v>2083</v>
      </c>
      <c r="F286" s="2">
        <v>0</v>
      </c>
      <c r="G286" s="2">
        <v>-15</v>
      </c>
      <c r="H286" s="2">
        <f t="shared" si="52"/>
        <v>7.5</v>
      </c>
      <c r="I286" s="2">
        <v>2</v>
      </c>
      <c r="J286" s="2"/>
      <c r="M286" s="2">
        <v>283</v>
      </c>
      <c r="N286" s="2">
        <f t="shared" si="61"/>
        <v>2083</v>
      </c>
      <c r="O286" s="2">
        <v>0</v>
      </c>
      <c r="P286" s="2">
        <v>15</v>
      </c>
      <c r="Q286" s="2">
        <f t="shared" si="53"/>
        <v>7.5</v>
      </c>
      <c r="R286" s="2">
        <v>2</v>
      </c>
      <c r="S286" s="2"/>
    </row>
    <row r="287" spans="4:19" x14ac:dyDescent="0.3">
      <c r="D287" s="2">
        <v>284</v>
      </c>
      <c r="E287" s="2">
        <f t="shared" si="60"/>
        <v>2090.5</v>
      </c>
      <c r="F287" s="2">
        <v>0</v>
      </c>
      <c r="G287" s="2">
        <v>-15</v>
      </c>
      <c r="H287" s="2">
        <f t="shared" si="52"/>
        <v>7.5</v>
      </c>
      <c r="I287" s="2">
        <v>5</v>
      </c>
      <c r="J287" s="2">
        <v>5</v>
      </c>
      <c r="M287" s="2">
        <v>284</v>
      </c>
      <c r="N287" s="2">
        <f t="shared" si="61"/>
        <v>2090.5</v>
      </c>
      <c r="O287" s="2">
        <v>0</v>
      </c>
      <c r="P287" s="2">
        <v>15</v>
      </c>
      <c r="Q287" s="2">
        <f t="shared" si="53"/>
        <v>7.5</v>
      </c>
      <c r="R287" s="2">
        <v>5</v>
      </c>
      <c r="S287" s="2"/>
    </row>
    <row r="288" spans="4:19" x14ac:dyDescent="0.3">
      <c r="D288" s="2">
        <v>285</v>
      </c>
      <c r="E288" s="2">
        <f t="shared" si="60"/>
        <v>2098</v>
      </c>
      <c r="F288" s="2">
        <v>0</v>
      </c>
      <c r="G288" s="2">
        <v>-15</v>
      </c>
      <c r="H288" s="2">
        <f t="shared" si="52"/>
        <v>7.5</v>
      </c>
      <c r="I288" s="2">
        <v>2</v>
      </c>
      <c r="J288" s="2"/>
      <c r="M288" s="2">
        <v>285</v>
      </c>
      <c r="N288" s="2">
        <f t="shared" si="61"/>
        <v>2098</v>
      </c>
      <c r="O288" s="2">
        <v>0</v>
      </c>
      <c r="P288" s="2">
        <v>15</v>
      </c>
      <c r="Q288" s="2">
        <f t="shared" si="53"/>
        <v>7.5</v>
      </c>
      <c r="R288" s="2">
        <v>2</v>
      </c>
      <c r="S288" s="2"/>
    </row>
    <row r="289" spans="4:19" x14ac:dyDescent="0.3">
      <c r="D289" s="2">
        <v>286</v>
      </c>
      <c r="E289" s="2">
        <f t="shared" si="60"/>
        <v>2105.5</v>
      </c>
      <c r="F289" s="2">
        <v>0</v>
      </c>
      <c r="G289" s="2">
        <v>-15</v>
      </c>
      <c r="H289" s="2">
        <f t="shared" si="52"/>
        <v>7.5</v>
      </c>
      <c r="I289" s="2">
        <v>3</v>
      </c>
      <c r="J289" s="2"/>
      <c r="M289" s="2">
        <v>286</v>
      </c>
      <c r="N289" s="2">
        <f t="shared" si="61"/>
        <v>2105.5</v>
      </c>
      <c r="O289" s="2">
        <v>0</v>
      </c>
      <c r="P289" s="2">
        <v>15</v>
      </c>
      <c r="Q289" s="2">
        <f t="shared" si="53"/>
        <v>7.5</v>
      </c>
      <c r="R289" s="2">
        <v>3</v>
      </c>
      <c r="S289" s="2"/>
    </row>
    <row r="290" spans="4:19" x14ac:dyDescent="0.3">
      <c r="D290" s="2">
        <v>287</v>
      </c>
      <c r="E290" s="2">
        <f t="shared" si="60"/>
        <v>2113</v>
      </c>
      <c r="F290" s="2">
        <v>0</v>
      </c>
      <c r="G290" s="2">
        <v>-15</v>
      </c>
      <c r="H290" s="2">
        <f t="shared" si="52"/>
        <v>7.5</v>
      </c>
      <c r="I290" s="2">
        <v>2</v>
      </c>
      <c r="J290" s="2"/>
      <c r="M290" s="2">
        <v>287</v>
      </c>
      <c r="N290" s="2">
        <f t="shared" si="61"/>
        <v>2113</v>
      </c>
      <c r="O290" s="2">
        <v>0</v>
      </c>
      <c r="P290" s="2">
        <v>15</v>
      </c>
      <c r="Q290" s="2">
        <f t="shared" si="53"/>
        <v>7.5</v>
      </c>
      <c r="R290" s="2">
        <v>2</v>
      </c>
      <c r="S290" s="2"/>
    </row>
    <row r="291" spans="4:19" x14ac:dyDescent="0.3">
      <c r="D291" s="2">
        <v>288</v>
      </c>
      <c r="E291" s="2">
        <f t="shared" si="60"/>
        <v>2120.5</v>
      </c>
      <c r="F291" s="2">
        <v>0</v>
      </c>
      <c r="G291" s="2">
        <v>-15</v>
      </c>
      <c r="H291" s="2">
        <f t="shared" si="52"/>
        <v>7.5</v>
      </c>
      <c r="I291" s="2">
        <v>5</v>
      </c>
      <c r="J291" s="2">
        <v>5</v>
      </c>
      <c r="M291" s="2">
        <v>288</v>
      </c>
      <c r="N291" s="2">
        <f t="shared" si="61"/>
        <v>2120.5</v>
      </c>
      <c r="O291" s="2">
        <v>0</v>
      </c>
      <c r="P291" s="2">
        <v>15</v>
      </c>
      <c r="Q291" s="2">
        <f t="shared" si="53"/>
        <v>7.5</v>
      </c>
      <c r="R291" s="2">
        <v>5</v>
      </c>
      <c r="S291" s="2"/>
    </row>
    <row r="292" spans="4:19" x14ac:dyDescent="0.3">
      <c r="D292" s="2">
        <v>289</v>
      </c>
      <c r="E292" s="2">
        <f t="shared" si="60"/>
        <v>2128</v>
      </c>
      <c r="F292" s="2">
        <v>0</v>
      </c>
      <c r="G292" s="2">
        <v>-15</v>
      </c>
      <c r="H292" s="2">
        <f t="shared" si="52"/>
        <v>7.5</v>
      </c>
      <c r="I292" s="2">
        <v>2</v>
      </c>
      <c r="J292" s="2"/>
      <c r="M292" s="2">
        <v>289</v>
      </c>
      <c r="N292" s="2">
        <f t="shared" si="61"/>
        <v>2128</v>
      </c>
      <c r="O292" s="2">
        <v>0</v>
      </c>
      <c r="P292" s="2">
        <v>15</v>
      </c>
      <c r="Q292" s="2">
        <f t="shared" si="53"/>
        <v>7.5</v>
      </c>
      <c r="R292" s="2">
        <v>2</v>
      </c>
      <c r="S292" s="2"/>
    </row>
    <row r="293" spans="4:19" x14ac:dyDescent="0.3">
      <c r="D293" s="2">
        <v>290</v>
      </c>
      <c r="E293" s="2">
        <f t="shared" si="60"/>
        <v>2135.5</v>
      </c>
      <c r="F293" s="2">
        <v>0</v>
      </c>
      <c r="G293" s="2">
        <v>-15</v>
      </c>
      <c r="H293" s="2">
        <f t="shared" si="52"/>
        <v>7.5</v>
      </c>
      <c r="I293" s="2">
        <v>3</v>
      </c>
      <c r="J293" s="2"/>
      <c r="M293" s="2">
        <v>290</v>
      </c>
      <c r="N293" s="2">
        <f t="shared" si="61"/>
        <v>2135.5</v>
      </c>
      <c r="O293" s="2">
        <v>0</v>
      </c>
      <c r="P293" s="2">
        <v>15</v>
      </c>
      <c r="Q293" s="2">
        <f t="shared" si="53"/>
        <v>7.5</v>
      </c>
      <c r="R293" s="2">
        <v>3</v>
      </c>
      <c r="S293" s="2"/>
    </row>
    <row r="294" spans="4:19" x14ac:dyDescent="0.3">
      <c r="D294" s="2">
        <v>291</v>
      </c>
      <c r="E294" s="2">
        <f t="shared" si="60"/>
        <v>2143</v>
      </c>
      <c r="F294" s="2">
        <v>0</v>
      </c>
      <c r="G294" s="2">
        <v>-15</v>
      </c>
      <c r="H294" s="2">
        <f t="shared" si="52"/>
        <v>7.5</v>
      </c>
      <c r="I294" s="2">
        <v>2</v>
      </c>
      <c r="J294" s="2"/>
      <c r="M294" s="2">
        <v>291</v>
      </c>
      <c r="N294" s="2">
        <f t="shared" si="61"/>
        <v>2143</v>
      </c>
      <c r="O294" s="2">
        <v>0</v>
      </c>
      <c r="P294" s="2">
        <v>15</v>
      </c>
      <c r="Q294" s="2">
        <f t="shared" si="53"/>
        <v>7.5</v>
      </c>
      <c r="R294" s="2">
        <v>2</v>
      </c>
      <c r="S294" s="2"/>
    </row>
    <row r="295" spans="4:19" x14ac:dyDescent="0.3">
      <c r="D295" s="2">
        <v>292</v>
      </c>
      <c r="E295" s="2">
        <f t="shared" si="60"/>
        <v>2150.5</v>
      </c>
      <c r="F295" s="2">
        <v>0</v>
      </c>
      <c r="G295" s="2">
        <v>-15</v>
      </c>
      <c r="H295" s="2">
        <f t="shared" si="52"/>
        <v>7.5</v>
      </c>
      <c r="I295" s="2">
        <v>5</v>
      </c>
      <c r="J295" s="2">
        <v>5</v>
      </c>
      <c r="M295" s="2">
        <v>292</v>
      </c>
      <c r="N295" s="2">
        <f t="shared" si="61"/>
        <v>2150.5</v>
      </c>
      <c r="O295" s="2">
        <v>0</v>
      </c>
      <c r="P295" s="2">
        <v>15</v>
      </c>
      <c r="Q295" s="2">
        <f t="shared" si="53"/>
        <v>7.5</v>
      </c>
      <c r="R295" s="2">
        <v>5</v>
      </c>
      <c r="S295" s="2"/>
    </row>
    <row r="296" spans="4:19" x14ac:dyDescent="0.3">
      <c r="D296" s="2">
        <v>293</v>
      </c>
      <c r="E296" s="2">
        <f t="shared" si="60"/>
        <v>2158</v>
      </c>
      <c r="F296" s="2">
        <v>0</v>
      </c>
      <c r="G296" s="2">
        <v>-15</v>
      </c>
      <c r="H296" s="2">
        <f t="shared" si="52"/>
        <v>7.5</v>
      </c>
      <c r="I296" s="2">
        <v>2</v>
      </c>
      <c r="J296" s="2"/>
      <c r="M296" s="2">
        <v>293</v>
      </c>
      <c r="N296" s="2">
        <f t="shared" si="61"/>
        <v>2158</v>
      </c>
      <c r="O296" s="2">
        <v>0</v>
      </c>
      <c r="P296" s="2">
        <v>15</v>
      </c>
      <c r="Q296" s="2">
        <f t="shared" si="53"/>
        <v>7.5</v>
      </c>
      <c r="R296" s="2">
        <v>2</v>
      </c>
      <c r="S296" s="2"/>
    </row>
    <row r="297" spans="4:19" x14ac:dyDescent="0.3">
      <c r="D297" s="2">
        <v>294</v>
      </c>
      <c r="E297" s="2">
        <f t="shared" si="60"/>
        <v>2165.5</v>
      </c>
      <c r="F297" s="2">
        <v>0</v>
      </c>
      <c r="G297" s="2">
        <v>-15</v>
      </c>
      <c r="H297" s="2">
        <f t="shared" si="52"/>
        <v>7.5</v>
      </c>
      <c r="I297" s="2">
        <v>3</v>
      </c>
      <c r="J297" s="2"/>
      <c r="M297" s="2">
        <v>294</v>
      </c>
      <c r="N297" s="2">
        <f t="shared" si="61"/>
        <v>2165.5</v>
      </c>
      <c r="O297" s="2">
        <v>0</v>
      </c>
      <c r="P297" s="2">
        <v>15</v>
      </c>
      <c r="Q297" s="2">
        <f t="shared" si="53"/>
        <v>7.5</v>
      </c>
      <c r="R297" s="2">
        <v>3</v>
      </c>
      <c r="S297" s="2"/>
    </row>
    <row r="298" spans="4:19" x14ac:dyDescent="0.3">
      <c r="D298" s="2">
        <v>295</v>
      </c>
      <c r="E298" s="2">
        <f t="shared" si="60"/>
        <v>2173</v>
      </c>
      <c r="F298" s="2">
        <v>0</v>
      </c>
      <c r="G298" s="2">
        <v>-15</v>
      </c>
      <c r="H298" s="2">
        <f t="shared" si="52"/>
        <v>7.5</v>
      </c>
      <c r="I298" s="2">
        <v>2</v>
      </c>
      <c r="J298" s="2"/>
      <c r="M298" s="2">
        <v>295</v>
      </c>
      <c r="N298" s="2">
        <f t="shared" si="61"/>
        <v>2173</v>
      </c>
      <c r="O298" s="2">
        <v>0</v>
      </c>
      <c r="P298" s="2">
        <v>15</v>
      </c>
      <c r="Q298" s="2">
        <f t="shared" si="53"/>
        <v>7.5</v>
      </c>
      <c r="R298" s="2">
        <v>2</v>
      </c>
      <c r="S298" s="2"/>
    </row>
    <row r="299" spans="4:19" x14ac:dyDescent="0.3">
      <c r="D299" s="2">
        <v>296</v>
      </c>
      <c r="E299" s="2">
        <f t="shared" si="60"/>
        <v>2180.5</v>
      </c>
      <c r="F299" s="2">
        <v>0</v>
      </c>
      <c r="G299" s="2">
        <v>-15</v>
      </c>
      <c r="H299" s="2">
        <f t="shared" si="52"/>
        <v>7.5</v>
      </c>
      <c r="I299" s="2">
        <v>5</v>
      </c>
      <c r="J299" s="2">
        <v>5</v>
      </c>
      <c r="M299" s="2">
        <v>296</v>
      </c>
      <c r="N299" s="2">
        <f t="shared" si="61"/>
        <v>2180.5</v>
      </c>
      <c r="O299" s="2">
        <v>0</v>
      </c>
      <c r="P299" s="2">
        <v>15</v>
      </c>
      <c r="Q299" s="2">
        <f t="shared" si="53"/>
        <v>7.5</v>
      </c>
      <c r="R299" s="2">
        <v>5</v>
      </c>
      <c r="S299" s="2"/>
    </row>
    <row r="300" spans="4:19" x14ac:dyDescent="0.3">
      <c r="D300" s="2">
        <v>297</v>
      </c>
      <c r="E300" s="2">
        <f t="shared" si="60"/>
        <v>2188</v>
      </c>
      <c r="F300" s="2">
        <v>0</v>
      </c>
      <c r="G300" s="2">
        <v>-15</v>
      </c>
      <c r="H300" s="2">
        <f t="shared" si="52"/>
        <v>8</v>
      </c>
      <c r="I300" s="2">
        <v>2</v>
      </c>
      <c r="J300" s="2"/>
      <c r="M300" s="2">
        <v>297</v>
      </c>
      <c r="N300" s="2">
        <f t="shared" si="61"/>
        <v>2188</v>
      </c>
      <c r="O300" s="2">
        <v>0</v>
      </c>
      <c r="P300" s="2">
        <v>15</v>
      </c>
      <c r="Q300" s="2">
        <f t="shared" si="53"/>
        <v>8</v>
      </c>
      <c r="R300" s="2">
        <v>2</v>
      </c>
      <c r="S300" s="2"/>
    </row>
    <row r="301" spans="4:19" x14ac:dyDescent="0.3">
      <c r="D301" s="2">
        <v>298</v>
      </c>
      <c r="E301" s="2">
        <f>E300+8</f>
        <v>2196</v>
      </c>
      <c r="F301" s="2">
        <v>0</v>
      </c>
      <c r="G301" s="2">
        <v>-15</v>
      </c>
      <c r="H301" s="2">
        <f t="shared" si="52"/>
        <v>8</v>
      </c>
      <c r="I301" s="2">
        <v>3</v>
      </c>
      <c r="J301" s="2"/>
      <c r="M301" s="2">
        <v>298</v>
      </c>
      <c r="N301" s="2">
        <f>N300+8</f>
        <v>2196</v>
      </c>
      <c r="O301" s="2">
        <v>0</v>
      </c>
      <c r="P301" s="2">
        <v>15</v>
      </c>
      <c r="Q301" s="2">
        <f t="shared" si="53"/>
        <v>8</v>
      </c>
      <c r="R301" s="2">
        <v>3</v>
      </c>
      <c r="S301" s="2"/>
    </row>
    <row r="302" spans="4:19" x14ac:dyDescent="0.3">
      <c r="D302" s="2">
        <v>299</v>
      </c>
      <c r="E302" s="2">
        <f>E301+8</f>
        <v>2204</v>
      </c>
      <c r="F302" s="2">
        <v>0</v>
      </c>
      <c r="G302" s="2">
        <v>-15</v>
      </c>
      <c r="H302" s="2">
        <f t="shared" si="52"/>
        <v>7.5</v>
      </c>
      <c r="I302" s="2">
        <v>2</v>
      </c>
      <c r="J302" s="2"/>
      <c r="M302" s="2">
        <v>299</v>
      </c>
      <c r="N302" s="2">
        <f>N301+8</f>
        <v>2204</v>
      </c>
      <c r="O302" s="2">
        <v>0</v>
      </c>
      <c r="P302" s="2">
        <v>15</v>
      </c>
      <c r="Q302" s="2">
        <f t="shared" si="53"/>
        <v>7.5</v>
      </c>
      <c r="R302" s="2">
        <v>2</v>
      </c>
      <c r="S302" s="2"/>
    </row>
    <row r="303" spans="4:19" x14ac:dyDescent="0.3">
      <c r="D303" s="2">
        <v>300</v>
      </c>
      <c r="E303" s="2">
        <f>E302+7.5</f>
        <v>2211.5</v>
      </c>
      <c r="F303" s="2">
        <v>0</v>
      </c>
      <c r="G303" s="2">
        <v>-15</v>
      </c>
      <c r="H303" s="2">
        <f t="shared" si="52"/>
        <v>7.5</v>
      </c>
      <c r="I303" s="2">
        <v>5</v>
      </c>
      <c r="J303" s="2">
        <v>5</v>
      </c>
      <c r="M303" s="2">
        <v>300</v>
      </c>
      <c r="N303" s="2">
        <f>N302+7.5</f>
        <v>2211.5</v>
      </c>
      <c r="O303" s="2">
        <v>0</v>
      </c>
      <c r="P303" s="2">
        <v>15</v>
      </c>
      <c r="Q303" s="2">
        <f t="shared" si="53"/>
        <v>7.5</v>
      </c>
      <c r="R303" s="2">
        <v>5</v>
      </c>
      <c r="S303" s="2"/>
    </row>
    <row r="304" spans="4:19" x14ac:dyDescent="0.3">
      <c r="D304" s="2">
        <v>301</v>
      </c>
      <c r="E304" s="2">
        <f t="shared" ref="E304:E324" si="62">E303+7.5</f>
        <v>2219</v>
      </c>
      <c r="F304" s="2">
        <v>0</v>
      </c>
      <c r="G304" s="2">
        <v>-15</v>
      </c>
      <c r="H304" s="2">
        <f t="shared" si="52"/>
        <v>7.5</v>
      </c>
      <c r="I304" s="2">
        <v>2</v>
      </c>
      <c r="J304" s="2"/>
      <c r="M304" s="2">
        <v>301</v>
      </c>
      <c r="N304" s="2">
        <f t="shared" ref="N304:N324" si="63">N303+7.5</f>
        <v>2219</v>
      </c>
      <c r="O304" s="2">
        <v>0</v>
      </c>
      <c r="P304" s="2">
        <v>15</v>
      </c>
      <c r="Q304" s="2">
        <f t="shared" si="53"/>
        <v>7.5</v>
      </c>
      <c r="R304" s="2">
        <v>2</v>
      </c>
      <c r="S304" s="2"/>
    </row>
    <row r="305" spans="4:19" x14ac:dyDescent="0.3">
      <c r="D305" s="2">
        <v>302</v>
      </c>
      <c r="E305" s="2">
        <f t="shared" si="62"/>
        <v>2226.5</v>
      </c>
      <c r="F305" s="2">
        <v>0</v>
      </c>
      <c r="G305" s="2">
        <v>-15</v>
      </c>
      <c r="H305" s="2">
        <f t="shared" si="52"/>
        <v>7.5</v>
      </c>
      <c r="I305" s="2">
        <v>3</v>
      </c>
      <c r="J305" s="2"/>
      <c r="M305" s="2">
        <v>302</v>
      </c>
      <c r="N305" s="2">
        <f t="shared" si="63"/>
        <v>2226.5</v>
      </c>
      <c r="O305" s="2">
        <v>0</v>
      </c>
      <c r="P305" s="2">
        <v>15</v>
      </c>
      <c r="Q305" s="2">
        <f t="shared" si="53"/>
        <v>7.5</v>
      </c>
      <c r="R305" s="2">
        <v>3</v>
      </c>
      <c r="S305" s="2"/>
    </row>
    <row r="306" spans="4:19" x14ac:dyDescent="0.3">
      <c r="D306" s="2">
        <v>303</v>
      </c>
      <c r="E306" s="2">
        <f t="shared" si="62"/>
        <v>2234</v>
      </c>
      <c r="F306" s="2">
        <v>0</v>
      </c>
      <c r="G306" s="2">
        <v>-15</v>
      </c>
      <c r="H306" s="2">
        <f t="shared" si="52"/>
        <v>7.5</v>
      </c>
      <c r="I306" s="2">
        <v>2</v>
      </c>
      <c r="J306" s="2"/>
      <c r="M306" s="2">
        <v>303</v>
      </c>
      <c r="N306" s="2">
        <f t="shared" si="63"/>
        <v>2234</v>
      </c>
      <c r="O306" s="2">
        <v>0</v>
      </c>
      <c r="P306" s="2">
        <v>15</v>
      </c>
      <c r="Q306" s="2">
        <f t="shared" si="53"/>
        <v>7.5</v>
      </c>
      <c r="R306" s="2">
        <v>2</v>
      </c>
      <c r="S306" s="2"/>
    </row>
    <row r="307" spans="4:19" x14ac:dyDescent="0.3">
      <c r="D307" s="2">
        <v>304</v>
      </c>
      <c r="E307" s="2">
        <f t="shared" si="62"/>
        <v>2241.5</v>
      </c>
      <c r="F307" s="2">
        <v>0</v>
      </c>
      <c r="G307" s="2">
        <v>-15</v>
      </c>
      <c r="H307" s="2">
        <f t="shared" si="52"/>
        <v>7.5</v>
      </c>
      <c r="I307" s="2">
        <v>5</v>
      </c>
      <c r="J307" s="2">
        <v>5</v>
      </c>
      <c r="M307" s="2">
        <v>304</v>
      </c>
      <c r="N307" s="2">
        <f t="shared" si="63"/>
        <v>2241.5</v>
      </c>
      <c r="O307" s="2">
        <v>0</v>
      </c>
      <c r="P307" s="2">
        <v>15</v>
      </c>
      <c r="Q307" s="2">
        <f t="shared" si="53"/>
        <v>7.5</v>
      </c>
      <c r="R307" s="2">
        <v>5</v>
      </c>
      <c r="S307" s="2"/>
    </row>
    <row r="308" spans="4:19" x14ac:dyDescent="0.3">
      <c r="D308" s="2">
        <v>305</v>
      </c>
      <c r="E308" s="2">
        <f t="shared" si="62"/>
        <v>2249</v>
      </c>
      <c r="F308" s="2">
        <v>0</v>
      </c>
      <c r="G308" s="2">
        <v>-15</v>
      </c>
      <c r="H308" s="2">
        <f t="shared" si="52"/>
        <v>7.5</v>
      </c>
      <c r="I308" s="2">
        <v>2</v>
      </c>
      <c r="J308" s="2"/>
      <c r="M308" s="2">
        <v>305</v>
      </c>
      <c r="N308" s="2">
        <f t="shared" si="63"/>
        <v>2249</v>
      </c>
      <c r="O308" s="2">
        <v>0</v>
      </c>
      <c r="P308" s="2">
        <v>15</v>
      </c>
      <c r="Q308" s="2">
        <f t="shared" si="53"/>
        <v>7.5</v>
      </c>
      <c r="R308" s="2">
        <v>2</v>
      </c>
      <c r="S308" s="2"/>
    </row>
    <row r="309" spans="4:19" x14ac:dyDescent="0.3">
      <c r="D309" s="2">
        <v>306</v>
      </c>
      <c r="E309" s="2">
        <f t="shared" si="62"/>
        <v>2256.5</v>
      </c>
      <c r="F309" s="2">
        <v>0</v>
      </c>
      <c r="G309" s="2">
        <v>-15</v>
      </c>
      <c r="H309" s="2">
        <f t="shared" si="52"/>
        <v>7.5</v>
      </c>
      <c r="I309" s="2">
        <v>3</v>
      </c>
      <c r="J309" s="2"/>
      <c r="M309" s="2">
        <v>306</v>
      </c>
      <c r="N309" s="2">
        <f t="shared" si="63"/>
        <v>2256.5</v>
      </c>
      <c r="O309" s="2">
        <v>0</v>
      </c>
      <c r="P309" s="2">
        <v>15</v>
      </c>
      <c r="Q309" s="2">
        <f t="shared" si="53"/>
        <v>7.5</v>
      </c>
      <c r="R309" s="2">
        <v>3</v>
      </c>
      <c r="S309" s="2"/>
    </row>
    <row r="310" spans="4:19" x14ac:dyDescent="0.3">
      <c r="D310" s="2">
        <v>307</v>
      </c>
      <c r="E310" s="2">
        <f t="shared" si="62"/>
        <v>2264</v>
      </c>
      <c r="F310" s="2">
        <v>0</v>
      </c>
      <c r="G310" s="2">
        <v>-15</v>
      </c>
      <c r="H310" s="2">
        <f t="shared" si="52"/>
        <v>7.5</v>
      </c>
      <c r="I310" s="2">
        <v>2</v>
      </c>
      <c r="J310" s="2"/>
      <c r="M310" s="2">
        <v>307</v>
      </c>
      <c r="N310" s="2">
        <f t="shared" si="63"/>
        <v>2264</v>
      </c>
      <c r="O310" s="2">
        <v>0</v>
      </c>
      <c r="P310" s="2">
        <v>15</v>
      </c>
      <c r="Q310" s="2">
        <f t="shared" si="53"/>
        <v>7.5</v>
      </c>
      <c r="R310" s="2">
        <v>2</v>
      </c>
      <c r="S310" s="2"/>
    </row>
    <row r="311" spans="4:19" x14ac:dyDescent="0.3">
      <c r="D311" s="2">
        <v>308</v>
      </c>
      <c r="E311" s="2">
        <f t="shared" si="62"/>
        <v>2271.5</v>
      </c>
      <c r="F311" s="2">
        <v>0</v>
      </c>
      <c r="G311" s="2">
        <v>-15</v>
      </c>
      <c r="H311" s="2">
        <f t="shared" si="52"/>
        <v>7.5</v>
      </c>
      <c r="I311" s="2">
        <v>5</v>
      </c>
      <c r="J311" s="2">
        <v>5</v>
      </c>
      <c r="M311" s="2">
        <v>308</v>
      </c>
      <c r="N311" s="2">
        <f t="shared" si="63"/>
        <v>2271.5</v>
      </c>
      <c r="O311" s="2">
        <v>0</v>
      </c>
      <c r="P311" s="2">
        <v>15</v>
      </c>
      <c r="Q311" s="2">
        <f t="shared" si="53"/>
        <v>7.5</v>
      </c>
      <c r="R311" s="2">
        <v>5</v>
      </c>
      <c r="S311" s="2"/>
    </row>
    <row r="312" spans="4:19" x14ac:dyDescent="0.3">
      <c r="D312" s="2">
        <v>309</v>
      </c>
      <c r="E312" s="2">
        <f t="shared" si="62"/>
        <v>2279</v>
      </c>
      <c r="F312" s="2">
        <v>0</v>
      </c>
      <c r="G312" s="2">
        <v>-15</v>
      </c>
      <c r="H312" s="2">
        <f t="shared" si="52"/>
        <v>7.5</v>
      </c>
      <c r="I312" s="2">
        <v>2</v>
      </c>
      <c r="J312" s="2"/>
      <c r="M312" s="2">
        <v>309</v>
      </c>
      <c r="N312" s="2">
        <f t="shared" si="63"/>
        <v>2279</v>
      </c>
      <c r="O312" s="2">
        <v>0</v>
      </c>
      <c r="P312" s="2">
        <v>15</v>
      </c>
      <c r="Q312" s="2">
        <f t="shared" si="53"/>
        <v>7.5</v>
      </c>
      <c r="R312" s="2">
        <v>2</v>
      </c>
      <c r="S312" s="2"/>
    </row>
    <row r="313" spans="4:19" x14ac:dyDescent="0.3">
      <c r="D313" s="2">
        <v>310</v>
      </c>
      <c r="E313" s="2">
        <f t="shared" si="62"/>
        <v>2286.5</v>
      </c>
      <c r="F313" s="2">
        <v>0</v>
      </c>
      <c r="G313" s="2">
        <v>-15</v>
      </c>
      <c r="H313" s="2">
        <f t="shared" si="52"/>
        <v>7.5</v>
      </c>
      <c r="I313" s="2">
        <v>3</v>
      </c>
      <c r="J313" s="2"/>
      <c r="M313" s="2">
        <v>310</v>
      </c>
      <c r="N313" s="2">
        <f t="shared" si="63"/>
        <v>2286.5</v>
      </c>
      <c r="O313" s="2">
        <v>0</v>
      </c>
      <c r="P313" s="2">
        <v>15</v>
      </c>
      <c r="Q313" s="2">
        <f t="shared" si="53"/>
        <v>7.5</v>
      </c>
      <c r="R313" s="2">
        <v>3</v>
      </c>
      <c r="S313" s="2"/>
    </row>
    <row r="314" spans="4:19" x14ac:dyDescent="0.3">
      <c r="D314" s="2">
        <v>311</v>
      </c>
      <c r="E314" s="2">
        <f t="shared" si="62"/>
        <v>2294</v>
      </c>
      <c r="F314" s="2">
        <v>0</v>
      </c>
      <c r="G314" s="2">
        <v>-15</v>
      </c>
      <c r="H314" s="2">
        <f t="shared" si="52"/>
        <v>7.5</v>
      </c>
      <c r="I314" s="2">
        <v>2</v>
      </c>
      <c r="J314" s="2"/>
      <c r="M314" s="2">
        <v>311</v>
      </c>
      <c r="N314" s="2">
        <f t="shared" si="63"/>
        <v>2294</v>
      </c>
      <c r="O314" s="2">
        <v>0</v>
      </c>
      <c r="P314" s="2">
        <v>15</v>
      </c>
      <c r="Q314" s="2">
        <f t="shared" si="53"/>
        <v>7.5</v>
      </c>
      <c r="R314" s="2">
        <v>2</v>
      </c>
      <c r="S314" s="2"/>
    </row>
    <row r="315" spans="4:19" x14ac:dyDescent="0.3">
      <c r="D315" s="2">
        <v>312</v>
      </c>
      <c r="E315" s="2">
        <f t="shared" si="62"/>
        <v>2301.5</v>
      </c>
      <c r="F315" s="2">
        <v>0</v>
      </c>
      <c r="G315" s="2">
        <v>-15</v>
      </c>
      <c r="H315" s="2">
        <f t="shared" si="52"/>
        <v>7.5</v>
      </c>
      <c r="I315" s="2">
        <v>5</v>
      </c>
      <c r="J315" s="2">
        <v>5</v>
      </c>
      <c r="M315" s="2">
        <v>312</v>
      </c>
      <c r="N315" s="2">
        <f t="shared" si="63"/>
        <v>2301.5</v>
      </c>
      <c r="O315" s="2">
        <v>0</v>
      </c>
      <c r="P315" s="2">
        <v>15</v>
      </c>
      <c r="Q315" s="2">
        <f t="shared" si="53"/>
        <v>7.5</v>
      </c>
      <c r="R315" s="2">
        <v>5</v>
      </c>
      <c r="S315" s="2"/>
    </row>
    <row r="316" spans="4:19" x14ac:dyDescent="0.3">
      <c r="D316" s="2">
        <v>313</v>
      </c>
      <c r="E316" s="2">
        <f t="shared" si="62"/>
        <v>2309</v>
      </c>
      <c r="F316" s="2">
        <v>0</v>
      </c>
      <c r="G316" s="2">
        <v>-15</v>
      </c>
      <c r="H316" s="2">
        <f t="shared" si="52"/>
        <v>7.5</v>
      </c>
      <c r="I316" s="2">
        <v>2</v>
      </c>
      <c r="J316" s="2"/>
      <c r="M316" s="2">
        <v>313</v>
      </c>
      <c r="N316" s="2">
        <f t="shared" si="63"/>
        <v>2309</v>
      </c>
      <c r="O316" s="2">
        <v>0</v>
      </c>
      <c r="P316" s="2">
        <v>15</v>
      </c>
      <c r="Q316" s="2">
        <f t="shared" si="53"/>
        <v>7.5</v>
      </c>
      <c r="R316" s="2">
        <v>2</v>
      </c>
      <c r="S316" s="2"/>
    </row>
    <row r="317" spans="4:19" x14ac:dyDescent="0.3">
      <c r="D317" s="2">
        <v>314</v>
      </c>
      <c r="E317" s="2">
        <f t="shared" si="62"/>
        <v>2316.5</v>
      </c>
      <c r="F317" s="2">
        <v>0</v>
      </c>
      <c r="G317" s="2">
        <v>-15</v>
      </c>
      <c r="H317" s="2">
        <f t="shared" si="52"/>
        <v>7.5</v>
      </c>
      <c r="I317" s="2">
        <v>3</v>
      </c>
      <c r="J317" s="2"/>
      <c r="M317" s="2">
        <v>314</v>
      </c>
      <c r="N317" s="2">
        <f t="shared" si="63"/>
        <v>2316.5</v>
      </c>
      <c r="O317" s="2">
        <v>0</v>
      </c>
      <c r="P317" s="2">
        <v>15</v>
      </c>
      <c r="Q317" s="2">
        <f t="shared" si="53"/>
        <v>7.5</v>
      </c>
      <c r="R317" s="2">
        <v>3</v>
      </c>
      <c r="S317" s="2"/>
    </row>
    <row r="318" spans="4:19" x14ac:dyDescent="0.3">
      <c r="D318" s="2">
        <v>315</v>
      </c>
      <c r="E318" s="2">
        <f t="shared" si="62"/>
        <v>2324</v>
      </c>
      <c r="F318" s="2">
        <v>0</v>
      </c>
      <c r="G318" s="2">
        <v>-15</v>
      </c>
      <c r="H318" s="2">
        <f t="shared" si="52"/>
        <v>7.5</v>
      </c>
      <c r="I318" s="2">
        <v>2</v>
      </c>
      <c r="J318" s="2"/>
      <c r="M318" s="2">
        <v>315</v>
      </c>
      <c r="N318" s="2">
        <f t="shared" si="63"/>
        <v>2324</v>
      </c>
      <c r="O318" s="2">
        <v>0</v>
      </c>
      <c r="P318" s="2">
        <v>15</v>
      </c>
      <c r="Q318" s="2">
        <f t="shared" si="53"/>
        <v>7.5</v>
      </c>
      <c r="R318" s="2">
        <v>2</v>
      </c>
      <c r="S318" s="2"/>
    </row>
    <row r="319" spans="4:19" x14ac:dyDescent="0.3">
      <c r="D319" s="2">
        <v>316</v>
      </c>
      <c r="E319" s="2">
        <f t="shared" si="62"/>
        <v>2331.5</v>
      </c>
      <c r="F319" s="2">
        <v>0</v>
      </c>
      <c r="G319" s="2">
        <v>-15</v>
      </c>
      <c r="H319" s="2">
        <f t="shared" si="52"/>
        <v>7.5</v>
      </c>
      <c r="I319" s="2">
        <v>5</v>
      </c>
      <c r="J319" s="2">
        <v>5</v>
      </c>
      <c r="M319" s="2">
        <v>316</v>
      </c>
      <c r="N319" s="2">
        <f t="shared" si="63"/>
        <v>2331.5</v>
      </c>
      <c r="O319" s="2">
        <v>0</v>
      </c>
      <c r="P319" s="2">
        <v>15</v>
      </c>
      <c r="Q319" s="2">
        <f t="shared" si="53"/>
        <v>7.5</v>
      </c>
      <c r="R319" s="2">
        <v>5</v>
      </c>
      <c r="S319" s="2"/>
    </row>
    <row r="320" spans="4:19" x14ac:dyDescent="0.3">
      <c r="D320" s="2">
        <v>317</v>
      </c>
      <c r="E320" s="2">
        <f t="shared" si="62"/>
        <v>2339</v>
      </c>
      <c r="F320" s="2">
        <v>0</v>
      </c>
      <c r="G320" s="2">
        <v>-15</v>
      </c>
      <c r="H320" s="2">
        <f t="shared" si="52"/>
        <v>7.5</v>
      </c>
      <c r="I320" s="2">
        <v>2</v>
      </c>
      <c r="J320" s="2"/>
      <c r="M320" s="2">
        <v>317</v>
      </c>
      <c r="N320" s="2">
        <f t="shared" si="63"/>
        <v>2339</v>
      </c>
      <c r="O320" s="2">
        <v>0</v>
      </c>
      <c r="P320" s="2">
        <v>15</v>
      </c>
      <c r="Q320" s="2">
        <f t="shared" si="53"/>
        <v>7.5</v>
      </c>
      <c r="R320" s="2">
        <v>2</v>
      </c>
      <c r="S320" s="2"/>
    </row>
    <row r="321" spans="4:19" x14ac:dyDescent="0.3">
      <c r="D321" s="2">
        <v>318</v>
      </c>
      <c r="E321" s="2">
        <f t="shared" si="62"/>
        <v>2346.5</v>
      </c>
      <c r="F321" s="2">
        <v>0</v>
      </c>
      <c r="G321" s="2">
        <v>-15</v>
      </c>
      <c r="H321" s="2">
        <f t="shared" si="52"/>
        <v>7.5</v>
      </c>
      <c r="I321" s="2">
        <v>3</v>
      </c>
      <c r="J321" s="2"/>
      <c r="M321" s="2">
        <v>318</v>
      </c>
      <c r="N321" s="2">
        <f t="shared" si="63"/>
        <v>2346.5</v>
      </c>
      <c r="O321" s="2">
        <v>0</v>
      </c>
      <c r="P321" s="2">
        <v>15</v>
      </c>
      <c r="Q321" s="2">
        <f t="shared" si="53"/>
        <v>7.5</v>
      </c>
      <c r="R321" s="2">
        <v>3</v>
      </c>
      <c r="S321" s="2"/>
    </row>
    <row r="322" spans="4:19" x14ac:dyDescent="0.3">
      <c r="D322" s="2">
        <v>319</v>
      </c>
      <c r="E322" s="2">
        <f t="shared" si="62"/>
        <v>2354</v>
      </c>
      <c r="F322" s="2">
        <v>0</v>
      </c>
      <c r="G322" s="2">
        <v>-15</v>
      </c>
      <c r="H322" s="2">
        <f t="shared" si="52"/>
        <v>7.5</v>
      </c>
      <c r="I322" s="2">
        <v>2</v>
      </c>
      <c r="J322" s="2"/>
      <c r="M322" s="2">
        <v>319</v>
      </c>
      <c r="N322" s="2">
        <f t="shared" si="63"/>
        <v>2354</v>
      </c>
      <c r="O322" s="2">
        <v>0</v>
      </c>
      <c r="P322" s="2">
        <v>15</v>
      </c>
      <c r="Q322" s="2">
        <f t="shared" si="53"/>
        <v>7.5</v>
      </c>
      <c r="R322" s="2">
        <v>2</v>
      </c>
      <c r="S322" s="2"/>
    </row>
    <row r="323" spans="4:19" x14ac:dyDescent="0.3">
      <c r="D323" s="2">
        <v>320</v>
      </c>
      <c r="E323" s="2">
        <f t="shared" si="62"/>
        <v>2361.5</v>
      </c>
      <c r="F323" s="2">
        <v>0</v>
      </c>
      <c r="G323" s="2">
        <v>-15</v>
      </c>
      <c r="H323" s="2">
        <f t="shared" si="52"/>
        <v>7.5</v>
      </c>
      <c r="I323" s="2">
        <v>5</v>
      </c>
      <c r="J323" s="2">
        <v>5</v>
      </c>
      <c r="M323" s="2">
        <v>320</v>
      </c>
      <c r="N323" s="2">
        <f t="shared" si="63"/>
        <v>2361.5</v>
      </c>
      <c r="O323" s="2">
        <v>0</v>
      </c>
      <c r="P323" s="2">
        <v>15</v>
      </c>
      <c r="Q323" s="2">
        <f t="shared" si="53"/>
        <v>7.5</v>
      </c>
      <c r="R323" s="2">
        <v>5</v>
      </c>
      <c r="S323" s="2"/>
    </row>
    <row r="324" spans="4:19" x14ac:dyDescent="0.3">
      <c r="D324" s="2">
        <v>321</v>
      </c>
      <c r="E324" s="2">
        <f t="shared" si="62"/>
        <v>2369</v>
      </c>
      <c r="F324" s="2">
        <v>0</v>
      </c>
      <c r="G324" s="2">
        <v>-15</v>
      </c>
      <c r="H324" s="2">
        <f t="shared" si="52"/>
        <v>6</v>
      </c>
      <c r="I324" s="2">
        <v>2</v>
      </c>
      <c r="J324" s="2"/>
      <c r="M324" s="2">
        <v>321</v>
      </c>
      <c r="N324" s="2">
        <f t="shared" si="63"/>
        <v>2369</v>
      </c>
      <c r="O324" s="2">
        <v>0</v>
      </c>
      <c r="P324" s="2">
        <v>15</v>
      </c>
      <c r="Q324" s="2">
        <f t="shared" si="53"/>
        <v>6</v>
      </c>
      <c r="R324" s="2">
        <v>2</v>
      </c>
      <c r="S324" s="2"/>
    </row>
    <row r="325" spans="4:19" x14ac:dyDescent="0.3">
      <c r="D325" s="2">
        <v>322</v>
      </c>
      <c r="E325" s="2">
        <f>E324+6</f>
        <v>2375</v>
      </c>
      <c r="F325" s="2">
        <v>0</v>
      </c>
      <c r="G325" s="2">
        <v>-15</v>
      </c>
      <c r="H325" s="2">
        <f t="shared" ref="H325:H365" si="64">SQRT((E326-E325)^2+(F326-F325)^2+(G326-G325)^2)</f>
        <v>6</v>
      </c>
      <c r="I325" s="2">
        <v>3</v>
      </c>
      <c r="J325" s="2"/>
      <c r="M325" s="2">
        <v>322</v>
      </c>
      <c r="N325" s="2">
        <f>N324+6</f>
        <v>2375</v>
      </c>
      <c r="O325" s="2">
        <v>0</v>
      </c>
      <c r="P325" s="2">
        <v>15</v>
      </c>
      <c r="Q325" s="2">
        <f t="shared" ref="Q325:Q365" si="65">SQRT((N326-N325)^2+(O326-O325)^2+(P326-P325)^2)</f>
        <v>6</v>
      </c>
      <c r="R325" s="2">
        <v>3</v>
      </c>
      <c r="S325" s="2"/>
    </row>
    <row r="326" spans="4:19" x14ac:dyDescent="0.3">
      <c r="D326" s="2">
        <v>323</v>
      </c>
      <c r="E326" s="2">
        <f t="shared" ref="E326:E327" si="66">E325+6</f>
        <v>2381</v>
      </c>
      <c r="F326" s="2">
        <v>0</v>
      </c>
      <c r="G326" s="2">
        <v>-15</v>
      </c>
      <c r="H326" s="2">
        <f t="shared" si="64"/>
        <v>6</v>
      </c>
      <c r="I326" s="2">
        <v>3</v>
      </c>
      <c r="J326" s="2"/>
      <c r="M326" s="2">
        <v>323</v>
      </c>
      <c r="N326" s="2">
        <f t="shared" ref="N326:N327" si="67">N325+6</f>
        <v>2381</v>
      </c>
      <c r="O326" s="2">
        <v>0</v>
      </c>
      <c r="P326" s="2">
        <v>15</v>
      </c>
      <c r="Q326" s="2">
        <f t="shared" si="65"/>
        <v>6</v>
      </c>
      <c r="R326" s="2">
        <v>3</v>
      </c>
      <c r="S326" s="2"/>
    </row>
    <row r="327" spans="4:19" x14ac:dyDescent="0.3">
      <c r="D327" s="2">
        <v>324</v>
      </c>
      <c r="E327" s="2">
        <f t="shared" si="66"/>
        <v>2387</v>
      </c>
      <c r="F327" s="2">
        <v>0</v>
      </c>
      <c r="G327" s="2">
        <v>-15</v>
      </c>
      <c r="H327" s="2">
        <f t="shared" si="64"/>
        <v>7</v>
      </c>
      <c r="I327" s="2">
        <v>4</v>
      </c>
      <c r="J327" s="2">
        <v>5</v>
      </c>
      <c r="M327" s="2">
        <v>324</v>
      </c>
      <c r="N327" s="2">
        <f t="shared" si="67"/>
        <v>2387</v>
      </c>
      <c r="O327" s="2">
        <v>0</v>
      </c>
      <c r="P327" s="2">
        <v>15</v>
      </c>
      <c r="Q327" s="2">
        <f t="shared" si="65"/>
        <v>7</v>
      </c>
      <c r="R327" s="2">
        <v>4</v>
      </c>
      <c r="S327" s="2"/>
    </row>
    <row r="328" spans="4:19" x14ac:dyDescent="0.3">
      <c r="D328" s="2">
        <v>325</v>
      </c>
      <c r="E328" s="2">
        <f>E327+7</f>
        <v>2394</v>
      </c>
      <c r="F328" s="2">
        <v>0</v>
      </c>
      <c r="G328" s="2">
        <v>-15</v>
      </c>
      <c r="H328" s="2">
        <f t="shared" si="64"/>
        <v>8</v>
      </c>
      <c r="I328" s="2">
        <v>3</v>
      </c>
      <c r="J328" s="2"/>
      <c r="M328" s="2">
        <v>325</v>
      </c>
      <c r="N328" s="2">
        <f>N327+7</f>
        <v>2394</v>
      </c>
      <c r="O328" s="2">
        <v>0</v>
      </c>
      <c r="P328" s="2">
        <v>15</v>
      </c>
      <c r="Q328" s="2">
        <f t="shared" si="65"/>
        <v>8</v>
      </c>
      <c r="R328" s="2">
        <v>3</v>
      </c>
      <c r="S328" s="2"/>
    </row>
    <row r="329" spans="4:19" x14ac:dyDescent="0.3">
      <c r="D329" s="2">
        <v>326</v>
      </c>
      <c r="E329" s="2">
        <f>E328+8</f>
        <v>2402</v>
      </c>
      <c r="F329" s="2">
        <v>0</v>
      </c>
      <c r="G329" s="2">
        <v>-15</v>
      </c>
      <c r="H329" s="2">
        <f t="shared" si="64"/>
        <v>8</v>
      </c>
      <c r="I329" s="2">
        <v>3</v>
      </c>
      <c r="J329" s="2"/>
      <c r="M329" s="2">
        <v>326</v>
      </c>
      <c r="N329" s="2">
        <f>N328+8</f>
        <v>2402</v>
      </c>
      <c r="O329" s="2">
        <v>0</v>
      </c>
      <c r="P329" s="2">
        <v>15</v>
      </c>
      <c r="Q329" s="2">
        <f t="shared" si="65"/>
        <v>8</v>
      </c>
      <c r="R329" s="2">
        <v>3</v>
      </c>
      <c r="S329" s="2"/>
    </row>
    <row r="330" spans="4:19" x14ac:dyDescent="0.3">
      <c r="D330" s="2">
        <v>327</v>
      </c>
      <c r="E330" s="2">
        <f t="shared" ref="E330:E332" si="68">E329+8</f>
        <v>2410</v>
      </c>
      <c r="F330" s="2">
        <v>0</v>
      </c>
      <c r="G330" s="2">
        <v>-15</v>
      </c>
      <c r="H330" s="2">
        <f t="shared" si="64"/>
        <v>8</v>
      </c>
      <c r="I330" s="2">
        <v>3</v>
      </c>
      <c r="J330" s="2"/>
      <c r="M330" s="2">
        <v>327</v>
      </c>
      <c r="N330" s="2">
        <f t="shared" ref="N330:N332" si="69">N329+8</f>
        <v>2410</v>
      </c>
      <c r="O330" s="2">
        <v>0</v>
      </c>
      <c r="P330" s="2">
        <v>15</v>
      </c>
      <c r="Q330" s="2">
        <f t="shared" si="65"/>
        <v>8</v>
      </c>
      <c r="R330" s="2">
        <v>3</v>
      </c>
      <c r="S330" s="2"/>
    </row>
    <row r="331" spans="4:19" x14ac:dyDescent="0.3">
      <c r="D331" s="2">
        <v>328</v>
      </c>
      <c r="E331" s="2">
        <f t="shared" si="68"/>
        <v>2418</v>
      </c>
      <c r="F331" s="2">
        <v>0</v>
      </c>
      <c r="G331" s="2">
        <v>-15</v>
      </c>
      <c r="H331" s="2">
        <f t="shared" si="64"/>
        <v>8</v>
      </c>
      <c r="I331" s="2">
        <v>5</v>
      </c>
      <c r="J331" s="2">
        <v>5</v>
      </c>
      <c r="M331" s="2">
        <v>328</v>
      </c>
      <c r="N331" s="2">
        <f t="shared" si="69"/>
        <v>2418</v>
      </c>
      <c r="O331" s="2">
        <v>0</v>
      </c>
      <c r="P331" s="2">
        <v>15</v>
      </c>
      <c r="Q331" s="2">
        <f t="shared" si="65"/>
        <v>8</v>
      </c>
      <c r="R331" s="2">
        <v>5</v>
      </c>
      <c r="S331" s="2"/>
    </row>
    <row r="332" spans="4:19" x14ac:dyDescent="0.3">
      <c r="D332" s="2">
        <v>329</v>
      </c>
      <c r="E332" s="2">
        <f t="shared" si="68"/>
        <v>2426</v>
      </c>
      <c r="F332" s="2">
        <v>0</v>
      </c>
      <c r="G332" s="2">
        <v>-15</v>
      </c>
      <c r="H332" s="2">
        <f t="shared" si="64"/>
        <v>7</v>
      </c>
      <c r="I332" s="2">
        <v>3</v>
      </c>
      <c r="J332" s="2"/>
      <c r="M332" s="2">
        <v>329</v>
      </c>
      <c r="N332" s="2">
        <f t="shared" si="69"/>
        <v>2426</v>
      </c>
      <c r="O332" s="2">
        <v>0</v>
      </c>
      <c r="P332" s="2">
        <v>15</v>
      </c>
      <c r="Q332" s="2">
        <f t="shared" si="65"/>
        <v>7</v>
      </c>
      <c r="R332" s="2">
        <v>3</v>
      </c>
      <c r="S332" s="2"/>
    </row>
    <row r="333" spans="4:19" x14ac:dyDescent="0.3">
      <c r="D333" s="2">
        <v>330</v>
      </c>
      <c r="E333" s="2">
        <f>E332+7</f>
        <v>2433</v>
      </c>
      <c r="F333" s="2">
        <v>0</v>
      </c>
      <c r="G333" s="2">
        <v>-15</v>
      </c>
      <c r="H333" s="2">
        <f t="shared" si="64"/>
        <v>6</v>
      </c>
      <c r="I333" s="2">
        <v>4</v>
      </c>
      <c r="J333" s="2"/>
      <c r="M333" s="2">
        <v>330</v>
      </c>
      <c r="N333" s="2">
        <f>N332+7</f>
        <v>2433</v>
      </c>
      <c r="O333" s="2">
        <v>0</v>
      </c>
      <c r="P333" s="2">
        <v>15</v>
      </c>
      <c r="Q333" s="2">
        <f t="shared" si="65"/>
        <v>6</v>
      </c>
      <c r="R333" s="2">
        <v>4</v>
      </c>
      <c r="S333" s="2"/>
    </row>
    <row r="334" spans="4:19" x14ac:dyDescent="0.3">
      <c r="D334" s="2">
        <v>331</v>
      </c>
      <c r="E334" s="2">
        <f>E333+6</f>
        <v>2439</v>
      </c>
      <c r="F334" s="2">
        <v>0</v>
      </c>
      <c r="G334" s="2">
        <v>-15</v>
      </c>
      <c r="H334" s="2">
        <f t="shared" si="64"/>
        <v>6</v>
      </c>
      <c r="I334" s="2">
        <v>3</v>
      </c>
      <c r="J334" s="2"/>
      <c r="M334" s="2">
        <v>331</v>
      </c>
      <c r="N334" s="2">
        <f>N333+6</f>
        <v>2439</v>
      </c>
      <c r="O334" s="2">
        <v>0</v>
      </c>
      <c r="P334" s="2">
        <v>15</v>
      </c>
      <c r="Q334" s="2">
        <f t="shared" si="65"/>
        <v>6</v>
      </c>
      <c r="R334" s="2">
        <v>3</v>
      </c>
      <c r="S334" s="2"/>
    </row>
    <row r="335" spans="4:19" x14ac:dyDescent="0.3">
      <c r="D335" s="2">
        <v>332</v>
      </c>
      <c r="E335" s="2">
        <f t="shared" ref="E335:E336" si="70">E334+6</f>
        <v>2445</v>
      </c>
      <c r="F335" s="2">
        <v>0</v>
      </c>
      <c r="G335" s="2">
        <v>-15</v>
      </c>
      <c r="H335" s="2">
        <f t="shared" si="64"/>
        <v>6</v>
      </c>
      <c r="I335" s="2">
        <v>5</v>
      </c>
      <c r="J335" s="2">
        <v>5</v>
      </c>
      <c r="M335" s="2">
        <v>332</v>
      </c>
      <c r="N335" s="2">
        <f t="shared" ref="N335:N336" si="71">N334+6</f>
        <v>2445</v>
      </c>
      <c r="O335" s="2">
        <v>0</v>
      </c>
      <c r="P335" s="2">
        <v>15</v>
      </c>
      <c r="Q335" s="2">
        <f t="shared" si="65"/>
        <v>6</v>
      </c>
      <c r="R335" s="2">
        <v>5</v>
      </c>
      <c r="S335" s="2"/>
    </row>
    <row r="336" spans="4:19" x14ac:dyDescent="0.3">
      <c r="D336" s="2">
        <v>333</v>
      </c>
      <c r="E336" s="2">
        <f t="shared" si="70"/>
        <v>2451</v>
      </c>
      <c r="F336" s="2">
        <v>0</v>
      </c>
      <c r="G336" s="2">
        <v>-15</v>
      </c>
      <c r="H336" s="2">
        <f t="shared" si="64"/>
        <v>7.5</v>
      </c>
      <c r="I336" s="2">
        <v>2</v>
      </c>
      <c r="J336" s="2"/>
      <c r="M336" s="2">
        <v>333</v>
      </c>
      <c r="N336" s="2">
        <f t="shared" si="71"/>
        <v>2451</v>
      </c>
      <c r="O336" s="2">
        <v>0</v>
      </c>
      <c r="P336" s="2">
        <v>15</v>
      </c>
      <c r="Q336" s="2">
        <f t="shared" si="65"/>
        <v>7.5</v>
      </c>
      <c r="R336" s="2">
        <v>2</v>
      </c>
      <c r="S336" s="2"/>
    </row>
    <row r="337" spans="4:19" x14ac:dyDescent="0.3">
      <c r="D337" s="2">
        <v>334</v>
      </c>
      <c r="E337" s="2">
        <f>E336+7.5</f>
        <v>2458.5</v>
      </c>
      <c r="F337" s="2">
        <v>0</v>
      </c>
      <c r="G337" s="2">
        <v>-15</v>
      </c>
      <c r="H337" s="2">
        <f t="shared" si="64"/>
        <v>7.5</v>
      </c>
      <c r="I337" s="2">
        <v>3</v>
      </c>
      <c r="J337" s="2"/>
      <c r="M337" s="2">
        <v>334</v>
      </c>
      <c r="N337" s="2">
        <f>N336+7.5</f>
        <v>2458.5</v>
      </c>
      <c r="O337" s="2">
        <v>0</v>
      </c>
      <c r="P337" s="2">
        <v>15</v>
      </c>
      <c r="Q337" s="2">
        <f t="shared" si="65"/>
        <v>7.5</v>
      </c>
      <c r="R337" s="2">
        <v>3</v>
      </c>
      <c r="S337" s="2"/>
    </row>
    <row r="338" spans="4:19" x14ac:dyDescent="0.3">
      <c r="D338" s="2">
        <v>335</v>
      </c>
      <c r="E338" s="2">
        <f t="shared" ref="E338:E356" si="72">E337+7.5</f>
        <v>2466</v>
      </c>
      <c r="F338" s="2">
        <v>0</v>
      </c>
      <c r="G338" s="2">
        <v>-15</v>
      </c>
      <c r="H338" s="2">
        <f t="shared" si="64"/>
        <v>7.5</v>
      </c>
      <c r="I338" s="2">
        <v>2</v>
      </c>
      <c r="J338" s="2"/>
      <c r="M338" s="2">
        <v>335</v>
      </c>
      <c r="N338" s="2">
        <f t="shared" ref="N338:N356" si="73">N337+7.5</f>
        <v>2466</v>
      </c>
      <c r="O338" s="2">
        <v>0</v>
      </c>
      <c r="P338" s="2">
        <v>15</v>
      </c>
      <c r="Q338" s="2">
        <f t="shared" si="65"/>
        <v>7.5</v>
      </c>
      <c r="R338" s="2">
        <v>2</v>
      </c>
      <c r="S338" s="2"/>
    </row>
    <row r="339" spans="4:19" x14ac:dyDescent="0.3">
      <c r="D339" s="2">
        <v>336</v>
      </c>
      <c r="E339" s="2">
        <f t="shared" si="72"/>
        <v>2473.5</v>
      </c>
      <c r="F339" s="2">
        <v>0</v>
      </c>
      <c r="G339" s="2">
        <v>-15</v>
      </c>
      <c r="H339" s="2">
        <f t="shared" si="64"/>
        <v>7.5</v>
      </c>
      <c r="I339" s="2">
        <v>5</v>
      </c>
      <c r="J339" s="2">
        <v>5</v>
      </c>
      <c r="M339" s="2">
        <v>336</v>
      </c>
      <c r="N339" s="2">
        <f t="shared" si="73"/>
        <v>2473.5</v>
      </c>
      <c r="O339" s="2">
        <v>0</v>
      </c>
      <c r="P339" s="2">
        <v>15</v>
      </c>
      <c r="Q339" s="2">
        <f t="shared" si="65"/>
        <v>7.5</v>
      </c>
      <c r="R339" s="2">
        <v>5</v>
      </c>
      <c r="S339" s="2"/>
    </row>
    <row r="340" spans="4:19" x14ac:dyDescent="0.3">
      <c r="D340" s="2">
        <v>337</v>
      </c>
      <c r="E340" s="2">
        <f t="shared" si="72"/>
        <v>2481</v>
      </c>
      <c r="F340" s="2">
        <v>0</v>
      </c>
      <c r="G340" s="2">
        <v>-15</v>
      </c>
      <c r="H340" s="2">
        <f t="shared" si="64"/>
        <v>7.5</v>
      </c>
      <c r="I340" s="2">
        <v>2</v>
      </c>
      <c r="J340" s="2"/>
      <c r="M340" s="2">
        <v>337</v>
      </c>
      <c r="N340" s="2">
        <f t="shared" si="73"/>
        <v>2481</v>
      </c>
      <c r="O340" s="2">
        <v>0</v>
      </c>
      <c r="P340" s="2">
        <v>15</v>
      </c>
      <c r="Q340" s="2">
        <f t="shared" si="65"/>
        <v>7.5</v>
      </c>
      <c r="R340" s="2">
        <v>2</v>
      </c>
      <c r="S340" s="2"/>
    </row>
    <row r="341" spans="4:19" x14ac:dyDescent="0.3">
      <c r="D341" s="2">
        <v>338</v>
      </c>
      <c r="E341" s="2">
        <f t="shared" si="72"/>
        <v>2488.5</v>
      </c>
      <c r="F341" s="2">
        <v>0</v>
      </c>
      <c r="G341" s="2">
        <v>-15</v>
      </c>
      <c r="H341" s="2">
        <f t="shared" si="64"/>
        <v>7.5</v>
      </c>
      <c r="I341" s="2">
        <v>3</v>
      </c>
      <c r="J341" s="2"/>
      <c r="M341" s="2">
        <v>338</v>
      </c>
      <c r="N341" s="2">
        <f t="shared" si="73"/>
        <v>2488.5</v>
      </c>
      <c r="O341" s="2">
        <v>0</v>
      </c>
      <c r="P341" s="2">
        <v>15</v>
      </c>
      <c r="Q341" s="2">
        <f t="shared" si="65"/>
        <v>7.5</v>
      </c>
      <c r="R341" s="2">
        <v>3</v>
      </c>
      <c r="S341" s="2"/>
    </row>
    <row r="342" spans="4:19" x14ac:dyDescent="0.3">
      <c r="D342" s="2">
        <v>339</v>
      </c>
      <c r="E342" s="2">
        <f t="shared" si="72"/>
        <v>2496</v>
      </c>
      <c r="F342" s="2">
        <v>0</v>
      </c>
      <c r="G342" s="2">
        <v>-15</v>
      </c>
      <c r="H342" s="2">
        <f t="shared" si="64"/>
        <v>7.5</v>
      </c>
      <c r="I342" s="2">
        <v>2</v>
      </c>
      <c r="J342" s="2"/>
      <c r="M342" s="2">
        <v>339</v>
      </c>
      <c r="N342" s="2">
        <f t="shared" si="73"/>
        <v>2496</v>
      </c>
      <c r="O342" s="2">
        <v>0</v>
      </c>
      <c r="P342" s="2">
        <v>15</v>
      </c>
      <c r="Q342" s="2">
        <f t="shared" si="65"/>
        <v>7.5</v>
      </c>
      <c r="R342" s="2">
        <v>2</v>
      </c>
      <c r="S342" s="2"/>
    </row>
    <row r="343" spans="4:19" x14ac:dyDescent="0.3">
      <c r="D343" s="2">
        <v>340</v>
      </c>
      <c r="E343" s="2">
        <f t="shared" si="72"/>
        <v>2503.5</v>
      </c>
      <c r="F343" s="2">
        <v>0</v>
      </c>
      <c r="G343" s="2">
        <v>-15</v>
      </c>
      <c r="H343" s="2">
        <f t="shared" si="64"/>
        <v>7.5</v>
      </c>
      <c r="I343" s="2">
        <v>5</v>
      </c>
      <c r="J343" s="2">
        <v>5</v>
      </c>
      <c r="M343" s="2">
        <v>340</v>
      </c>
      <c r="N343" s="2">
        <f t="shared" si="73"/>
        <v>2503.5</v>
      </c>
      <c r="O343" s="2">
        <v>0</v>
      </c>
      <c r="P343" s="2">
        <v>15</v>
      </c>
      <c r="Q343" s="2">
        <f t="shared" si="65"/>
        <v>7.5</v>
      </c>
      <c r="R343" s="2">
        <v>5</v>
      </c>
      <c r="S343" s="2"/>
    </row>
    <row r="344" spans="4:19" x14ac:dyDescent="0.3">
      <c r="D344" s="2">
        <v>341</v>
      </c>
      <c r="E344" s="2">
        <f t="shared" si="72"/>
        <v>2511</v>
      </c>
      <c r="F344" s="2">
        <v>0</v>
      </c>
      <c r="G344" s="2">
        <v>-15</v>
      </c>
      <c r="H344" s="2">
        <f t="shared" si="64"/>
        <v>7.5</v>
      </c>
      <c r="I344" s="2">
        <v>2</v>
      </c>
      <c r="J344" s="2"/>
      <c r="M344" s="2">
        <v>341</v>
      </c>
      <c r="N344" s="2">
        <f t="shared" si="73"/>
        <v>2511</v>
      </c>
      <c r="O344" s="2">
        <v>0</v>
      </c>
      <c r="P344" s="2">
        <v>15</v>
      </c>
      <c r="Q344" s="2">
        <f t="shared" si="65"/>
        <v>7.5</v>
      </c>
      <c r="R344" s="2">
        <v>2</v>
      </c>
      <c r="S344" s="2"/>
    </row>
    <row r="345" spans="4:19" x14ac:dyDescent="0.3">
      <c r="D345" s="2">
        <v>342</v>
      </c>
      <c r="E345" s="2">
        <f t="shared" si="72"/>
        <v>2518.5</v>
      </c>
      <c r="F345" s="2">
        <v>0</v>
      </c>
      <c r="G345" s="2">
        <v>-15</v>
      </c>
      <c r="H345" s="2">
        <f t="shared" si="64"/>
        <v>7.5</v>
      </c>
      <c r="I345" s="2">
        <v>3</v>
      </c>
      <c r="J345" s="2"/>
      <c r="M345" s="2">
        <v>342</v>
      </c>
      <c r="N345" s="2">
        <f t="shared" si="73"/>
        <v>2518.5</v>
      </c>
      <c r="O345" s="2">
        <v>0</v>
      </c>
      <c r="P345" s="2">
        <v>15</v>
      </c>
      <c r="Q345" s="2">
        <f t="shared" si="65"/>
        <v>7.5</v>
      </c>
      <c r="R345" s="2">
        <v>3</v>
      </c>
      <c r="S345" s="2"/>
    </row>
    <row r="346" spans="4:19" x14ac:dyDescent="0.3">
      <c r="D346" s="2">
        <v>343</v>
      </c>
      <c r="E346" s="2">
        <f t="shared" si="72"/>
        <v>2526</v>
      </c>
      <c r="F346" s="2">
        <v>0</v>
      </c>
      <c r="G346" s="2">
        <v>-15</v>
      </c>
      <c r="H346" s="2">
        <f t="shared" si="64"/>
        <v>7.5</v>
      </c>
      <c r="I346" s="2">
        <v>2</v>
      </c>
      <c r="J346" s="2"/>
      <c r="M346" s="2">
        <v>343</v>
      </c>
      <c r="N346" s="2">
        <f t="shared" si="73"/>
        <v>2526</v>
      </c>
      <c r="O346" s="2">
        <v>0</v>
      </c>
      <c r="P346" s="2">
        <v>15</v>
      </c>
      <c r="Q346" s="2">
        <f t="shared" si="65"/>
        <v>7.5</v>
      </c>
      <c r="R346" s="2">
        <v>2</v>
      </c>
      <c r="S346" s="2"/>
    </row>
    <row r="347" spans="4:19" x14ac:dyDescent="0.3">
      <c r="D347" s="2">
        <v>344</v>
      </c>
      <c r="E347" s="2">
        <f t="shared" si="72"/>
        <v>2533.5</v>
      </c>
      <c r="F347" s="2">
        <v>0</v>
      </c>
      <c r="G347" s="2">
        <v>-15</v>
      </c>
      <c r="H347" s="2">
        <f t="shared" si="64"/>
        <v>7.5</v>
      </c>
      <c r="I347" s="2">
        <v>5</v>
      </c>
      <c r="J347" s="2">
        <v>5</v>
      </c>
      <c r="M347" s="2">
        <v>344</v>
      </c>
      <c r="N347" s="2">
        <f t="shared" si="73"/>
        <v>2533.5</v>
      </c>
      <c r="O347" s="2">
        <v>0</v>
      </c>
      <c r="P347" s="2">
        <v>15</v>
      </c>
      <c r="Q347" s="2">
        <f t="shared" si="65"/>
        <v>7.5</v>
      </c>
      <c r="R347" s="2">
        <v>5</v>
      </c>
      <c r="S347" s="2"/>
    </row>
    <row r="348" spans="4:19" x14ac:dyDescent="0.3">
      <c r="D348" s="2">
        <v>345</v>
      </c>
      <c r="E348" s="2">
        <f t="shared" si="72"/>
        <v>2541</v>
      </c>
      <c r="F348" s="2">
        <v>0</v>
      </c>
      <c r="G348" s="2">
        <v>-15</v>
      </c>
      <c r="H348" s="2">
        <f t="shared" si="64"/>
        <v>7.5</v>
      </c>
      <c r="I348" s="2">
        <v>2</v>
      </c>
      <c r="J348" s="2"/>
      <c r="M348" s="2">
        <v>345</v>
      </c>
      <c r="N348" s="2">
        <f t="shared" si="73"/>
        <v>2541</v>
      </c>
      <c r="O348" s="2">
        <v>0</v>
      </c>
      <c r="P348" s="2">
        <v>15</v>
      </c>
      <c r="Q348" s="2">
        <f t="shared" si="65"/>
        <v>7.5</v>
      </c>
      <c r="R348" s="2">
        <v>2</v>
      </c>
      <c r="S348" s="2"/>
    </row>
    <row r="349" spans="4:19" x14ac:dyDescent="0.3">
      <c r="D349" s="2">
        <v>346</v>
      </c>
      <c r="E349" s="2">
        <f t="shared" si="72"/>
        <v>2548.5</v>
      </c>
      <c r="F349" s="2">
        <v>0</v>
      </c>
      <c r="G349" s="2">
        <v>-15</v>
      </c>
      <c r="H349" s="2">
        <f t="shared" si="64"/>
        <v>7.5</v>
      </c>
      <c r="I349" s="2">
        <v>3</v>
      </c>
      <c r="J349" s="2"/>
      <c r="M349" s="2">
        <v>346</v>
      </c>
      <c r="N349" s="2">
        <f t="shared" si="73"/>
        <v>2548.5</v>
      </c>
      <c r="O349" s="2">
        <v>0</v>
      </c>
      <c r="P349" s="2">
        <v>15</v>
      </c>
      <c r="Q349" s="2">
        <f t="shared" si="65"/>
        <v>7.5</v>
      </c>
      <c r="R349" s="2">
        <v>3</v>
      </c>
      <c r="S349" s="2"/>
    </row>
    <row r="350" spans="4:19" x14ac:dyDescent="0.3">
      <c r="D350" s="2">
        <v>347</v>
      </c>
      <c r="E350" s="2">
        <f t="shared" si="72"/>
        <v>2556</v>
      </c>
      <c r="F350" s="2">
        <v>0</v>
      </c>
      <c r="G350" s="2">
        <v>-15</v>
      </c>
      <c r="H350" s="2">
        <f t="shared" si="64"/>
        <v>7.5</v>
      </c>
      <c r="I350" s="2">
        <v>2</v>
      </c>
      <c r="J350" s="2"/>
      <c r="M350" s="2">
        <v>347</v>
      </c>
      <c r="N350" s="2">
        <f t="shared" si="73"/>
        <v>2556</v>
      </c>
      <c r="O350" s="2">
        <v>0</v>
      </c>
      <c r="P350" s="2">
        <v>15</v>
      </c>
      <c r="Q350" s="2">
        <f t="shared" si="65"/>
        <v>7.5</v>
      </c>
      <c r="R350" s="2">
        <v>2</v>
      </c>
      <c r="S350" s="2"/>
    </row>
    <row r="351" spans="4:19" x14ac:dyDescent="0.3">
      <c r="D351" s="2">
        <v>348</v>
      </c>
      <c r="E351" s="2">
        <f t="shared" si="72"/>
        <v>2563.5</v>
      </c>
      <c r="F351" s="2">
        <v>0</v>
      </c>
      <c r="G351" s="2">
        <v>-15</v>
      </c>
      <c r="H351" s="2">
        <f t="shared" si="64"/>
        <v>7.5</v>
      </c>
      <c r="I351" s="2">
        <v>5</v>
      </c>
      <c r="J351" s="2">
        <v>5</v>
      </c>
      <c r="M351" s="2">
        <v>348</v>
      </c>
      <c r="N351" s="2">
        <f t="shared" si="73"/>
        <v>2563.5</v>
      </c>
      <c r="O351" s="2">
        <v>0</v>
      </c>
      <c r="P351" s="2">
        <v>15</v>
      </c>
      <c r="Q351" s="2">
        <f t="shared" si="65"/>
        <v>7.5</v>
      </c>
      <c r="R351" s="2">
        <v>5</v>
      </c>
      <c r="S351" s="2"/>
    </row>
    <row r="352" spans="4:19" x14ac:dyDescent="0.3">
      <c r="D352" s="2">
        <v>349</v>
      </c>
      <c r="E352" s="2">
        <f t="shared" si="72"/>
        <v>2571</v>
      </c>
      <c r="F352" s="2">
        <v>0</v>
      </c>
      <c r="G352" s="2">
        <v>-15</v>
      </c>
      <c r="H352" s="2">
        <f t="shared" si="64"/>
        <v>7.5</v>
      </c>
      <c r="I352" s="2">
        <v>2</v>
      </c>
      <c r="J352" s="2"/>
      <c r="M352" s="2">
        <v>349</v>
      </c>
      <c r="N352" s="2">
        <f t="shared" si="73"/>
        <v>2571</v>
      </c>
      <c r="O352" s="2">
        <v>0</v>
      </c>
      <c r="P352" s="2">
        <v>15</v>
      </c>
      <c r="Q352" s="2">
        <f t="shared" si="65"/>
        <v>7.5</v>
      </c>
      <c r="R352" s="2">
        <v>2</v>
      </c>
      <c r="S352" s="2"/>
    </row>
    <row r="353" spans="4:19" x14ac:dyDescent="0.3">
      <c r="D353" s="2">
        <v>350</v>
      </c>
      <c r="E353" s="2">
        <f t="shared" si="72"/>
        <v>2578.5</v>
      </c>
      <c r="F353" s="2">
        <v>0</v>
      </c>
      <c r="G353" s="2">
        <v>-15</v>
      </c>
      <c r="H353" s="2">
        <f t="shared" si="64"/>
        <v>7.5</v>
      </c>
      <c r="I353" s="2">
        <v>3</v>
      </c>
      <c r="J353" s="2"/>
      <c r="M353" s="2">
        <v>350</v>
      </c>
      <c r="N353" s="2">
        <f t="shared" si="73"/>
        <v>2578.5</v>
      </c>
      <c r="O353" s="2">
        <v>0</v>
      </c>
      <c r="P353" s="2">
        <v>15</v>
      </c>
      <c r="Q353" s="2">
        <f t="shared" si="65"/>
        <v>7.5</v>
      </c>
      <c r="R353" s="2">
        <v>3</v>
      </c>
      <c r="S353" s="2"/>
    </row>
    <row r="354" spans="4:19" x14ac:dyDescent="0.3">
      <c r="D354" s="2">
        <v>351</v>
      </c>
      <c r="E354" s="2">
        <f t="shared" si="72"/>
        <v>2586</v>
      </c>
      <c r="F354" s="2">
        <v>0</v>
      </c>
      <c r="G354" s="2">
        <v>-15</v>
      </c>
      <c r="H354" s="2">
        <f t="shared" si="64"/>
        <v>7.5</v>
      </c>
      <c r="I354" s="2">
        <v>2</v>
      </c>
      <c r="J354" s="2"/>
      <c r="M354" s="2">
        <v>351</v>
      </c>
      <c r="N354" s="2">
        <f t="shared" si="73"/>
        <v>2586</v>
      </c>
      <c r="O354" s="2">
        <v>0</v>
      </c>
      <c r="P354" s="2">
        <v>15</v>
      </c>
      <c r="Q354" s="2">
        <f t="shared" si="65"/>
        <v>7.5</v>
      </c>
      <c r="R354" s="2">
        <v>2</v>
      </c>
      <c r="S354" s="2"/>
    </row>
    <row r="355" spans="4:19" x14ac:dyDescent="0.3">
      <c r="D355" s="2">
        <v>352</v>
      </c>
      <c r="E355" s="2">
        <f t="shared" si="72"/>
        <v>2593.5</v>
      </c>
      <c r="F355" s="2">
        <v>0</v>
      </c>
      <c r="G355" s="2">
        <v>-15</v>
      </c>
      <c r="H355" s="2">
        <f t="shared" si="64"/>
        <v>7.5</v>
      </c>
      <c r="I355" s="2">
        <v>5</v>
      </c>
      <c r="J355" s="2">
        <v>5</v>
      </c>
      <c r="M355" s="2">
        <v>352</v>
      </c>
      <c r="N355" s="2">
        <f t="shared" si="73"/>
        <v>2593.5</v>
      </c>
      <c r="O355" s="2">
        <v>0</v>
      </c>
      <c r="P355" s="2">
        <v>15</v>
      </c>
      <c r="Q355" s="2">
        <f t="shared" si="65"/>
        <v>7.5</v>
      </c>
      <c r="R355" s="2">
        <v>5</v>
      </c>
      <c r="S355" s="2"/>
    </row>
    <row r="356" spans="4:19" x14ac:dyDescent="0.3">
      <c r="D356" s="2">
        <v>353</v>
      </c>
      <c r="E356" s="2">
        <f t="shared" si="72"/>
        <v>2601</v>
      </c>
      <c r="F356" s="2">
        <v>0</v>
      </c>
      <c r="G356" s="2">
        <v>-15</v>
      </c>
      <c r="H356" s="2">
        <f t="shared" si="64"/>
        <v>9</v>
      </c>
      <c r="I356" s="2">
        <v>2</v>
      </c>
      <c r="J356" s="2"/>
      <c r="M356" s="2">
        <v>353</v>
      </c>
      <c r="N356" s="2">
        <f t="shared" si="73"/>
        <v>2601</v>
      </c>
      <c r="O356" s="2">
        <v>0</v>
      </c>
      <c r="P356" s="2">
        <v>15</v>
      </c>
      <c r="Q356" s="2">
        <f t="shared" si="65"/>
        <v>9</v>
      </c>
      <c r="R356" s="2">
        <v>2</v>
      </c>
      <c r="S356" s="2"/>
    </row>
    <row r="357" spans="4:19" x14ac:dyDescent="0.3">
      <c r="D357" s="2">
        <v>354</v>
      </c>
      <c r="E357" s="2">
        <v>2610</v>
      </c>
      <c r="F357" s="2">
        <v>0</v>
      </c>
      <c r="G357" s="2">
        <v>-15</v>
      </c>
      <c r="H357" s="2">
        <f t="shared" si="64"/>
        <v>6</v>
      </c>
      <c r="I357" s="2">
        <v>1</v>
      </c>
      <c r="J357" s="2"/>
      <c r="M357" s="2">
        <v>354</v>
      </c>
      <c r="N357" s="2">
        <v>2610</v>
      </c>
      <c r="O357" s="2">
        <v>0</v>
      </c>
      <c r="P357" s="2">
        <v>15</v>
      </c>
      <c r="Q357" s="2">
        <f t="shared" si="65"/>
        <v>6</v>
      </c>
      <c r="R357" s="2">
        <v>1</v>
      </c>
      <c r="S357" s="2"/>
    </row>
    <row r="358" spans="4:19" x14ac:dyDescent="0.3">
      <c r="D358" s="2">
        <v>355</v>
      </c>
      <c r="E358" s="2">
        <f>E356+15</f>
        <v>2616</v>
      </c>
      <c r="F358" s="2">
        <v>0</v>
      </c>
      <c r="G358" s="2">
        <v>-15</v>
      </c>
      <c r="H358" s="2">
        <f t="shared" si="64"/>
        <v>8</v>
      </c>
      <c r="I358" s="2">
        <v>2</v>
      </c>
      <c r="J358" s="2"/>
      <c r="M358" s="2">
        <v>355</v>
      </c>
      <c r="N358" s="2">
        <f>N356+15</f>
        <v>2616</v>
      </c>
      <c r="O358" s="2">
        <v>0</v>
      </c>
      <c r="P358" s="2">
        <v>15</v>
      </c>
      <c r="Q358" s="2">
        <f t="shared" si="65"/>
        <v>8</v>
      </c>
      <c r="R358" s="2">
        <v>2</v>
      </c>
      <c r="S358" s="2"/>
    </row>
    <row r="359" spans="4:19" x14ac:dyDescent="0.3">
      <c r="D359" s="2">
        <v>356</v>
      </c>
      <c r="E359" s="2">
        <f>E358+8</f>
        <v>2624</v>
      </c>
      <c r="F359" s="2">
        <v>0</v>
      </c>
      <c r="G359" s="2">
        <v>-15</v>
      </c>
      <c r="H359" s="2">
        <f t="shared" si="64"/>
        <v>8</v>
      </c>
      <c r="I359" s="2">
        <v>5</v>
      </c>
      <c r="J359" s="2">
        <v>5</v>
      </c>
      <c r="M359" s="2">
        <v>356</v>
      </c>
      <c r="N359" s="2">
        <f>N358+8</f>
        <v>2624</v>
      </c>
      <c r="O359" s="2">
        <v>0</v>
      </c>
      <c r="P359" s="2">
        <v>15</v>
      </c>
      <c r="Q359" s="2">
        <f t="shared" si="65"/>
        <v>8</v>
      </c>
      <c r="R359" s="2">
        <v>5</v>
      </c>
      <c r="S359" s="2"/>
    </row>
    <row r="360" spans="4:19" x14ac:dyDescent="0.3">
      <c r="D360" s="2">
        <v>357</v>
      </c>
      <c r="E360" s="2">
        <f t="shared" ref="E360:E365" si="74">E359+8</f>
        <v>2632</v>
      </c>
      <c r="F360" s="2">
        <v>0</v>
      </c>
      <c r="G360" s="2">
        <v>-15</v>
      </c>
      <c r="H360" s="2">
        <f t="shared" si="64"/>
        <v>8</v>
      </c>
      <c r="I360" s="2">
        <v>3</v>
      </c>
      <c r="J360" s="2"/>
      <c r="M360" s="2">
        <v>357</v>
      </c>
      <c r="N360" s="2">
        <f t="shared" ref="N360:N365" si="75">N359+8</f>
        <v>2632</v>
      </c>
      <c r="O360" s="2">
        <v>0</v>
      </c>
      <c r="P360" s="2">
        <v>15</v>
      </c>
      <c r="Q360" s="2">
        <f t="shared" si="65"/>
        <v>8</v>
      </c>
      <c r="R360" s="2">
        <v>3</v>
      </c>
      <c r="S360" s="2"/>
    </row>
    <row r="361" spans="4:19" x14ac:dyDescent="0.3">
      <c r="D361" s="2">
        <v>358</v>
      </c>
      <c r="E361" s="2">
        <f t="shared" si="74"/>
        <v>2640</v>
      </c>
      <c r="F361" s="2">
        <v>0</v>
      </c>
      <c r="G361" s="2">
        <v>-15</v>
      </c>
      <c r="H361" s="2">
        <f t="shared" si="64"/>
        <v>8</v>
      </c>
      <c r="I361" s="2">
        <v>3</v>
      </c>
      <c r="J361" s="2"/>
      <c r="M361" s="2">
        <v>358</v>
      </c>
      <c r="N361" s="2">
        <f t="shared" si="75"/>
        <v>2640</v>
      </c>
      <c r="O361" s="2">
        <v>0</v>
      </c>
      <c r="P361" s="2">
        <v>15</v>
      </c>
      <c r="Q361" s="2">
        <f t="shared" si="65"/>
        <v>8</v>
      </c>
      <c r="R361" s="2">
        <v>3</v>
      </c>
      <c r="S361" s="2"/>
    </row>
    <row r="362" spans="4:19" x14ac:dyDescent="0.3">
      <c r="D362" s="2">
        <v>359</v>
      </c>
      <c r="E362" s="2">
        <f t="shared" si="74"/>
        <v>2648</v>
      </c>
      <c r="F362" s="2">
        <v>0</v>
      </c>
      <c r="G362" s="2">
        <v>-15</v>
      </c>
      <c r="H362" s="2">
        <f t="shared" si="64"/>
        <v>8</v>
      </c>
      <c r="I362" s="2">
        <v>3</v>
      </c>
      <c r="J362" s="2"/>
      <c r="M362" s="2">
        <v>359</v>
      </c>
      <c r="N362" s="2">
        <f t="shared" si="75"/>
        <v>2648</v>
      </c>
      <c r="O362" s="2">
        <v>0</v>
      </c>
      <c r="P362" s="2">
        <v>15</v>
      </c>
      <c r="Q362" s="2">
        <f t="shared" si="65"/>
        <v>8</v>
      </c>
      <c r="R362" s="2">
        <v>3</v>
      </c>
      <c r="S362" s="2"/>
    </row>
    <row r="363" spans="4:19" x14ac:dyDescent="0.3">
      <c r="D363" s="2">
        <v>360</v>
      </c>
      <c r="E363" s="2">
        <f t="shared" si="74"/>
        <v>2656</v>
      </c>
      <c r="F363" s="2">
        <v>0</v>
      </c>
      <c r="G363" s="2">
        <v>-15</v>
      </c>
      <c r="H363" s="2">
        <f t="shared" si="64"/>
        <v>8</v>
      </c>
      <c r="I363" s="2">
        <v>5</v>
      </c>
      <c r="J363" s="2">
        <v>5</v>
      </c>
      <c r="M363" s="2">
        <v>360</v>
      </c>
      <c r="N363" s="2">
        <f t="shared" si="75"/>
        <v>2656</v>
      </c>
      <c r="O363" s="2">
        <v>0</v>
      </c>
      <c r="P363" s="2">
        <v>15</v>
      </c>
      <c r="Q363" s="2">
        <f t="shared" si="65"/>
        <v>8</v>
      </c>
      <c r="R363" s="2">
        <v>5</v>
      </c>
      <c r="S363" s="2"/>
    </row>
    <row r="364" spans="4:19" x14ac:dyDescent="0.3">
      <c r="D364" s="2">
        <v>361</v>
      </c>
      <c r="E364" s="2">
        <f t="shared" si="74"/>
        <v>2664</v>
      </c>
      <c r="F364" s="2">
        <v>0</v>
      </c>
      <c r="G364" s="2">
        <v>-15</v>
      </c>
      <c r="H364" s="2">
        <f t="shared" si="64"/>
        <v>8</v>
      </c>
      <c r="I364" s="2">
        <v>3</v>
      </c>
      <c r="J364" s="2"/>
      <c r="M364" s="2">
        <v>361</v>
      </c>
      <c r="N364" s="2">
        <f t="shared" si="75"/>
        <v>2664</v>
      </c>
      <c r="O364" s="2">
        <v>0</v>
      </c>
      <c r="P364" s="2">
        <v>15</v>
      </c>
      <c r="Q364" s="2">
        <f t="shared" si="65"/>
        <v>8</v>
      </c>
      <c r="R364" s="2">
        <v>3</v>
      </c>
      <c r="S364" s="2"/>
    </row>
    <row r="365" spans="4:19" x14ac:dyDescent="0.3">
      <c r="D365" s="2">
        <v>362</v>
      </c>
      <c r="E365" s="2">
        <f t="shared" si="74"/>
        <v>2672</v>
      </c>
      <c r="F365" s="2">
        <v>0</v>
      </c>
      <c r="G365" s="2">
        <v>-15</v>
      </c>
      <c r="H365" s="2">
        <f t="shared" si="64"/>
        <v>8</v>
      </c>
      <c r="I365" s="2">
        <v>3</v>
      </c>
      <c r="J365" s="2"/>
      <c r="M365" s="2">
        <v>362</v>
      </c>
      <c r="N365" s="2">
        <f t="shared" si="75"/>
        <v>2672</v>
      </c>
      <c r="O365" s="2">
        <v>0</v>
      </c>
      <c r="P365" s="2">
        <v>15</v>
      </c>
      <c r="Q365" s="2">
        <f t="shared" si="65"/>
        <v>8</v>
      </c>
      <c r="R365" s="2">
        <v>3</v>
      </c>
      <c r="S365" s="2"/>
    </row>
    <row r="366" spans="4:19" x14ac:dyDescent="0.3">
      <c r="D366" s="2">
        <v>363</v>
      </c>
      <c r="E366" s="2">
        <f>E365+8</f>
        <v>2680</v>
      </c>
      <c r="F366" s="2">
        <v>0</v>
      </c>
      <c r="G366" s="2">
        <v>-15</v>
      </c>
      <c r="H366" s="2"/>
      <c r="I366" s="2">
        <v>1</v>
      </c>
      <c r="J366" s="2">
        <f>COUNTIF(I1:I366,5)</f>
        <v>84</v>
      </c>
      <c r="M366" s="2">
        <v>363</v>
      </c>
      <c r="N366" s="2">
        <f>N365+8</f>
        <v>2680</v>
      </c>
      <c r="O366" s="2">
        <v>0</v>
      </c>
      <c r="P366" s="2">
        <v>15</v>
      </c>
      <c r="Q366" s="2"/>
      <c r="R366" s="2">
        <v>1</v>
      </c>
      <c r="S366" s="2"/>
    </row>
  </sheetData>
  <mergeCells count="3">
    <mergeCell ref="B6:C6"/>
    <mergeCell ref="D2:J2"/>
    <mergeCell ref="M2:S2"/>
  </mergeCells>
  <phoneticPr fontId="1" type="noConversion"/>
  <conditionalFormatting sqref="C7:C10 I4:I366">
    <cfRule type="cellIs" dxfId="38" priority="949" operator="equal">
      <formula>4</formula>
    </cfRule>
    <cfRule type="cellIs" dxfId="37" priority="950" operator="equal">
      <formula>3</formula>
    </cfRule>
    <cfRule type="cellIs" dxfId="36" priority="951" operator="equal">
      <formula>2</formula>
    </cfRule>
    <cfRule type="cellIs" dxfId="35" priority="952" operator="equal">
      <formula>1</formula>
    </cfRule>
  </conditionalFormatting>
  <conditionalFormatting sqref="R4:R366">
    <cfRule type="cellIs" dxfId="34" priority="5" operator="equal">
      <formula>4</formula>
    </cfRule>
    <cfRule type="cellIs" dxfId="33" priority="6" operator="equal">
      <formula>3</formula>
    </cfRule>
    <cfRule type="cellIs" dxfId="32" priority="7" operator="equal">
      <formula>2</formula>
    </cfRule>
    <cfRule type="cellIs" dxfId="31" priority="8" operator="equal">
      <formula>1</formula>
    </cfRule>
  </conditionalFormatting>
  <conditionalFormatting sqref="R4:R366">
    <cfRule type="cellIs" dxfId="30" priority="1" operator="equal">
      <formula>4</formula>
    </cfRule>
    <cfRule type="cellIs" dxfId="29" priority="2" operator="equal">
      <formula>3</formula>
    </cfRule>
    <cfRule type="cellIs" dxfId="28" priority="3" operator="equal">
      <formula>2</formula>
    </cfRule>
    <cfRule type="cellIs" dxfId="27" priority="4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B2:P32"/>
  <sheetViews>
    <sheetView topLeftCell="A25" workbookViewId="0">
      <selection activeCell="K17" sqref="K17"/>
    </sheetView>
  </sheetViews>
  <sheetFormatPr defaultRowHeight="16.5" x14ac:dyDescent="0.3"/>
  <cols>
    <col min="1" max="1" width="9.140625" style="1"/>
    <col min="2" max="2" width="14" style="1" customWidth="1"/>
    <col min="3" max="3" width="11.140625" style="1" customWidth="1"/>
    <col min="4" max="7" width="9.140625" style="1"/>
    <col min="8" max="8" width="0" style="1" hidden="1" customWidth="1"/>
    <col min="9" max="9" width="13.28515625" style="1" customWidth="1"/>
    <col min="10" max="10" width="16.28515625" style="1" customWidth="1"/>
    <col min="11" max="16384" width="9.140625" style="1"/>
  </cols>
  <sheetData>
    <row r="2" spans="2:16" x14ac:dyDescent="0.3">
      <c r="D2" s="2" t="s">
        <v>53</v>
      </c>
      <c r="E2" s="2" t="s">
        <v>50</v>
      </c>
      <c r="F2" s="2" t="s">
        <v>51</v>
      </c>
      <c r="G2" s="2" t="s">
        <v>52</v>
      </c>
      <c r="H2" s="2" t="s">
        <v>48</v>
      </c>
      <c r="I2" s="2" t="s">
        <v>49</v>
      </c>
      <c r="J2" s="2" t="s">
        <v>60</v>
      </c>
    </row>
    <row r="3" spans="2:16" x14ac:dyDescent="0.3">
      <c r="D3" s="2">
        <v>1</v>
      </c>
      <c r="E3" s="2">
        <v>270</v>
      </c>
      <c r="F3" s="2">
        <v>-49.72</v>
      </c>
      <c r="G3" s="2">
        <v>0</v>
      </c>
      <c r="H3" s="2">
        <f>SQRT((E4-E3)^2+(F4-F3)^2+(G4-G3)^2)</f>
        <v>8</v>
      </c>
      <c r="I3" s="2">
        <v>1</v>
      </c>
      <c r="J3" s="2"/>
      <c r="O3" s="1" t="s">
        <v>146</v>
      </c>
      <c r="P3" s="1" t="s">
        <v>147</v>
      </c>
    </row>
    <row r="4" spans="2:16" x14ac:dyDescent="0.3">
      <c r="D4" s="2">
        <v>2</v>
      </c>
      <c r="E4" s="2">
        <v>270</v>
      </c>
      <c r="F4" s="2">
        <f>F3+8</f>
        <v>-41.72</v>
      </c>
      <c r="G4" s="2">
        <v>0</v>
      </c>
      <c r="H4" s="2">
        <f t="shared" ref="H4:H25" si="0">SQRT((E5-E4)^2+(F5-F4)^2+(G5-G4)^2)</f>
        <v>8</v>
      </c>
      <c r="I4" s="2">
        <v>3</v>
      </c>
      <c r="J4" s="2">
        <v>16</v>
      </c>
      <c r="O4" s="3" t="str">
        <f>桥塔截面统计!B4</f>
        <v>1_1</v>
      </c>
      <c r="P4" s="1">
        <v>1</v>
      </c>
    </row>
    <row r="5" spans="2:16" x14ac:dyDescent="0.3">
      <c r="B5" s="42" t="s">
        <v>54</v>
      </c>
      <c r="C5" s="43"/>
      <c r="D5" s="2">
        <v>3</v>
      </c>
      <c r="E5" s="2">
        <v>270</v>
      </c>
      <c r="F5" s="2">
        <f t="shared" ref="F5:F7" si="1">F4+8</f>
        <v>-33.72</v>
      </c>
      <c r="G5" s="2">
        <v>0</v>
      </c>
      <c r="H5" s="2">
        <f t="shared" si="0"/>
        <v>8</v>
      </c>
      <c r="I5" s="2">
        <v>3</v>
      </c>
      <c r="J5" s="2">
        <v>15</v>
      </c>
      <c r="O5" s="3" t="str">
        <f>桥塔截面统计!B5</f>
        <v>2_2</v>
      </c>
      <c r="P5" s="1">
        <v>2</v>
      </c>
    </row>
    <row r="6" spans="2:16" x14ac:dyDescent="0.3">
      <c r="B6" s="2" t="s">
        <v>55</v>
      </c>
      <c r="C6" s="5">
        <v>1</v>
      </c>
      <c r="D6" s="2">
        <v>4</v>
      </c>
      <c r="E6" s="2">
        <v>270</v>
      </c>
      <c r="F6" s="2">
        <f t="shared" si="1"/>
        <v>-25.72</v>
      </c>
      <c r="G6" s="2">
        <v>0</v>
      </c>
      <c r="H6" s="2">
        <f t="shared" si="0"/>
        <v>8</v>
      </c>
      <c r="I6" s="2">
        <v>3</v>
      </c>
      <c r="J6" s="2">
        <v>14</v>
      </c>
      <c r="O6" s="3" t="str">
        <f>桥塔截面统计!B6</f>
        <v>3_3</v>
      </c>
      <c r="P6" s="1">
        <v>3</v>
      </c>
    </row>
    <row r="7" spans="2:16" x14ac:dyDescent="0.3">
      <c r="B7" s="2" t="s">
        <v>56</v>
      </c>
      <c r="C7" s="5">
        <v>2</v>
      </c>
      <c r="D7" s="2">
        <v>5</v>
      </c>
      <c r="E7" s="2">
        <v>270</v>
      </c>
      <c r="F7" s="2">
        <f t="shared" si="1"/>
        <v>-17.72</v>
      </c>
      <c r="G7" s="2">
        <v>0</v>
      </c>
      <c r="H7" s="2">
        <f t="shared" si="0"/>
        <v>8</v>
      </c>
      <c r="I7" s="2">
        <v>3</v>
      </c>
      <c r="J7" s="2">
        <v>13</v>
      </c>
      <c r="O7" s="3" t="str">
        <f>桥塔截面统计!B7</f>
        <v>4_4</v>
      </c>
      <c r="P7" s="1">
        <v>4</v>
      </c>
    </row>
    <row r="8" spans="2:16" x14ac:dyDescent="0.3">
      <c r="B8" s="2" t="s">
        <v>57</v>
      </c>
      <c r="C8" s="5">
        <v>3</v>
      </c>
      <c r="D8" s="2">
        <v>6</v>
      </c>
      <c r="E8" s="2">
        <v>270</v>
      </c>
      <c r="F8" s="2">
        <f>F7+8</f>
        <v>-9.7199999999999989</v>
      </c>
      <c r="G8" s="2">
        <v>0</v>
      </c>
      <c r="H8" s="2">
        <f t="shared" si="0"/>
        <v>9.7199999999999989</v>
      </c>
      <c r="I8" s="2">
        <v>3</v>
      </c>
      <c r="J8" s="2">
        <v>12</v>
      </c>
      <c r="O8" s="3" t="str">
        <f>桥塔截面统计!B8</f>
        <v>5_5</v>
      </c>
      <c r="P8" s="1">
        <v>5</v>
      </c>
    </row>
    <row r="9" spans="2:16" x14ac:dyDescent="0.3">
      <c r="B9" s="2" t="s">
        <v>58</v>
      </c>
      <c r="C9" s="5">
        <v>4</v>
      </c>
      <c r="D9" s="2">
        <v>7</v>
      </c>
      <c r="E9" s="2">
        <v>270</v>
      </c>
      <c r="F9" s="2">
        <v>0</v>
      </c>
      <c r="G9" s="2">
        <v>0</v>
      </c>
      <c r="H9" s="2">
        <f t="shared" si="0"/>
        <v>8</v>
      </c>
      <c r="I9" s="2">
        <v>3</v>
      </c>
      <c r="J9" s="2">
        <v>12</v>
      </c>
      <c r="O9" s="3" t="str">
        <f>桥塔截面统计!B9</f>
        <v>6_6</v>
      </c>
      <c r="P9" s="1">
        <v>6</v>
      </c>
    </row>
    <row r="10" spans="2:16" x14ac:dyDescent="0.3">
      <c r="D10" s="2">
        <v>8</v>
      </c>
      <c r="E10" s="2">
        <v>270</v>
      </c>
      <c r="F10" s="2">
        <f>F9+8</f>
        <v>8</v>
      </c>
      <c r="G10" s="2">
        <v>0</v>
      </c>
      <c r="H10" s="2">
        <f t="shared" si="0"/>
        <v>8</v>
      </c>
      <c r="I10" s="2">
        <v>3</v>
      </c>
      <c r="J10" s="2">
        <v>11</v>
      </c>
      <c r="O10" s="3" t="str">
        <f>桥塔截面统计!B10</f>
        <v>7_7</v>
      </c>
      <c r="P10" s="1">
        <v>7</v>
      </c>
    </row>
    <row r="11" spans="2:16" x14ac:dyDescent="0.3">
      <c r="D11" s="2">
        <v>9</v>
      </c>
      <c r="E11" s="2">
        <v>270</v>
      </c>
      <c r="F11" s="2">
        <f t="shared" ref="F11:F19" si="2">F10+8</f>
        <v>16</v>
      </c>
      <c r="G11" s="2">
        <v>0</v>
      </c>
      <c r="H11" s="2">
        <f t="shared" si="0"/>
        <v>8</v>
      </c>
      <c r="I11" s="2">
        <v>3</v>
      </c>
      <c r="J11" s="2">
        <v>11</v>
      </c>
      <c r="O11" s="3" t="str">
        <f>桥塔截面统计!B11</f>
        <v>8_8</v>
      </c>
      <c r="P11" s="1">
        <v>8</v>
      </c>
    </row>
    <row r="12" spans="2:16" x14ac:dyDescent="0.3">
      <c r="D12" s="2">
        <v>10</v>
      </c>
      <c r="E12" s="2">
        <v>270</v>
      </c>
      <c r="F12" s="2">
        <f t="shared" si="2"/>
        <v>24</v>
      </c>
      <c r="G12" s="2">
        <v>0</v>
      </c>
      <c r="H12" s="2">
        <f t="shared" si="0"/>
        <v>8</v>
      </c>
      <c r="I12" s="2">
        <v>3</v>
      </c>
      <c r="J12" s="2">
        <v>10</v>
      </c>
      <c r="O12" s="3" t="str">
        <f>桥塔截面统计!B12</f>
        <v>9_9</v>
      </c>
      <c r="P12" s="1">
        <v>9</v>
      </c>
    </row>
    <row r="13" spans="2:16" x14ac:dyDescent="0.3">
      <c r="D13" s="2">
        <v>11</v>
      </c>
      <c r="E13" s="2">
        <v>270</v>
      </c>
      <c r="F13" s="2">
        <f t="shared" si="2"/>
        <v>32</v>
      </c>
      <c r="G13" s="2">
        <v>0</v>
      </c>
      <c r="H13" s="2">
        <f t="shared" si="0"/>
        <v>8</v>
      </c>
      <c r="I13" s="2">
        <v>3</v>
      </c>
      <c r="J13" s="2">
        <v>10</v>
      </c>
      <c r="O13" s="3" t="str">
        <f>桥塔截面统计!B13</f>
        <v>10_10</v>
      </c>
      <c r="P13" s="1">
        <v>10</v>
      </c>
    </row>
    <row r="14" spans="2:16" x14ac:dyDescent="0.3">
      <c r="D14" s="2">
        <v>12</v>
      </c>
      <c r="E14" s="2">
        <v>270</v>
      </c>
      <c r="F14" s="2">
        <f t="shared" si="2"/>
        <v>40</v>
      </c>
      <c r="G14" s="2">
        <v>0</v>
      </c>
      <c r="H14" s="2">
        <f t="shared" si="0"/>
        <v>8</v>
      </c>
      <c r="I14" s="2">
        <v>3</v>
      </c>
      <c r="J14" s="2">
        <v>10</v>
      </c>
      <c r="O14" s="3" t="str">
        <f>桥塔截面统计!B14</f>
        <v>11_11</v>
      </c>
      <c r="P14" s="1">
        <v>11</v>
      </c>
    </row>
    <row r="15" spans="2:16" x14ac:dyDescent="0.3">
      <c r="D15" s="2">
        <v>13</v>
      </c>
      <c r="E15" s="2">
        <v>270</v>
      </c>
      <c r="F15" s="2">
        <f t="shared" si="2"/>
        <v>48</v>
      </c>
      <c r="G15" s="2">
        <v>0</v>
      </c>
      <c r="H15" s="2">
        <f t="shared" si="0"/>
        <v>8</v>
      </c>
      <c r="I15" s="2">
        <v>3</v>
      </c>
      <c r="J15" s="2">
        <v>9</v>
      </c>
      <c r="O15" s="3" t="str">
        <f>桥塔截面统计!B15</f>
        <v>12_12</v>
      </c>
      <c r="P15" s="1">
        <v>12</v>
      </c>
    </row>
    <row r="16" spans="2:16" x14ac:dyDescent="0.3">
      <c r="D16" s="2">
        <v>14</v>
      </c>
      <c r="E16" s="2">
        <v>270</v>
      </c>
      <c r="F16" s="2">
        <f t="shared" si="2"/>
        <v>56</v>
      </c>
      <c r="G16" s="2">
        <v>0</v>
      </c>
      <c r="H16" s="2">
        <f t="shared" si="0"/>
        <v>8</v>
      </c>
      <c r="I16" s="2">
        <v>3</v>
      </c>
      <c r="J16" s="2">
        <v>9</v>
      </c>
      <c r="O16" s="3" t="str">
        <f>桥塔截面统计!B16</f>
        <v>13_13</v>
      </c>
      <c r="P16" s="1">
        <v>13</v>
      </c>
    </row>
    <row r="17" spans="4:16" x14ac:dyDescent="0.3">
      <c r="D17" s="2">
        <v>15</v>
      </c>
      <c r="E17" s="2">
        <v>270</v>
      </c>
      <c r="F17" s="2">
        <f t="shared" si="2"/>
        <v>64</v>
      </c>
      <c r="G17" s="2">
        <v>0</v>
      </c>
      <c r="H17" s="2">
        <f t="shared" si="0"/>
        <v>8</v>
      </c>
      <c r="I17" s="2">
        <v>3</v>
      </c>
      <c r="J17" s="2">
        <v>9</v>
      </c>
      <c r="O17" s="3" t="str">
        <f>桥塔截面统计!B17</f>
        <v>14_14</v>
      </c>
      <c r="P17" s="1">
        <v>14</v>
      </c>
    </row>
    <row r="18" spans="4:16" x14ac:dyDescent="0.3">
      <c r="D18" s="2">
        <v>16</v>
      </c>
      <c r="E18" s="2">
        <v>270</v>
      </c>
      <c r="F18" s="2">
        <f t="shared" si="2"/>
        <v>72</v>
      </c>
      <c r="G18" s="2">
        <v>0</v>
      </c>
      <c r="H18" s="2">
        <f t="shared" si="0"/>
        <v>8</v>
      </c>
      <c r="I18" s="2">
        <v>3</v>
      </c>
      <c r="J18" s="2">
        <v>8</v>
      </c>
      <c r="O18" s="3" t="str">
        <f>桥塔截面统计!B18</f>
        <v>15_15</v>
      </c>
      <c r="P18" s="1">
        <v>15</v>
      </c>
    </row>
    <row r="19" spans="4:16" x14ac:dyDescent="0.3">
      <c r="D19" s="2">
        <v>17</v>
      </c>
      <c r="E19" s="2">
        <v>270</v>
      </c>
      <c r="F19" s="2">
        <f t="shared" si="2"/>
        <v>80</v>
      </c>
      <c r="G19" s="2">
        <v>0</v>
      </c>
      <c r="H19" s="2">
        <f t="shared" si="0"/>
        <v>8.89</v>
      </c>
      <c r="I19" s="2">
        <v>3</v>
      </c>
      <c r="J19" s="2">
        <v>8</v>
      </c>
      <c r="O19" s="3" t="str">
        <f>桥塔截面统计!B19</f>
        <v>16_16</v>
      </c>
      <c r="P19" s="1">
        <v>16</v>
      </c>
    </row>
    <row r="20" spans="4:16" x14ac:dyDescent="0.3">
      <c r="D20" s="2">
        <v>18</v>
      </c>
      <c r="E20" s="2">
        <v>270</v>
      </c>
      <c r="F20" s="2">
        <v>88.89</v>
      </c>
      <c r="G20" s="2">
        <v>0</v>
      </c>
      <c r="H20" s="2">
        <f t="shared" si="0"/>
        <v>1.2000000000000028</v>
      </c>
      <c r="I20" s="2">
        <v>2</v>
      </c>
      <c r="J20" s="2">
        <v>8</v>
      </c>
    </row>
    <row r="21" spans="4:16" x14ac:dyDescent="0.3">
      <c r="D21" s="2">
        <v>19</v>
      </c>
      <c r="E21" s="2">
        <v>270</v>
      </c>
      <c r="F21" s="2">
        <f>1.2+F20</f>
        <v>90.09</v>
      </c>
      <c r="G21" s="2">
        <v>0</v>
      </c>
      <c r="H21" s="2">
        <f t="shared" si="0"/>
        <v>3.5</v>
      </c>
      <c r="I21" s="2">
        <v>2</v>
      </c>
      <c r="J21" s="2">
        <v>7</v>
      </c>
    </row>
    <row r="22" spans="4:16" x14ac:dyDescent="0.3">
      <c r="D22" s="2">
        <v>20</v>
      </c>
      <c r="E22" s="2">
        <v>270</v>
      </c>
      <c r="F22" s="2">
        <f>3.5+F21</f>
        <v>93.59</v>
      </c>
      <c r="G22" s="2">
        <v>0</v>
      </c>
      <c r="H22" s="2">
        <f t="shared" si="0"/>
        <v>2.0999999999999943</v>
      </c>
      <c r="I22" s="2">
        <v>2</v>
      </c>
      <c r="J22" s="2">
        <v>6</v>
      </c>
    </row>
    <row r="23" spans="4:16" x14ac:dyDescent="0.3">
      <c r="D23" s="2">
        <v>21</v>
      </c>
      <c r="E23" s="2">
        <v>270</v>
      </c>
      <c r="F23" s="2">
        <f>2.1+F22</f>
        <v>95.69</v>
      </c>
      <c r="G23" s="2">
        <v>0</v>
      </c>
      <c r="H23" s="2">
        <f t="shared" si="0"/>
        <v>2.0999999999999943</v>
      </c>
      <c r="I23" s="2">
        <v>2</v>
      </c>
      <c r="J23" s="2">
        <v>5</v>
      </c>
    </row>
    <row r="24" spans="4:16" x14ac:dyDescent="0.3">
      <c r="D24" s="2">
        <v>22</v>
      </c>
      <c r="E24" s="2">
        <v>270</v>
      </c>
      <c r="F24" s="2">
        <f>2.1+F23</f>
        <v>97.789999999999992</v>
      </c>
      <c r="G24" s="2">
        <v>0</v>
      </c>
      <c r="H24" s="2">
        <f t="shared" si="0"/>
        <v>1.8499999999999943</v>
      </c>
      <c r="I24" s="2">
        <v>2</v>
      </c>
      <c r="J24" s="2">
        <v>5</v>
      </c>
    </row>
    <row r="25" spans="4:16" x14ac:dyDescent="0.3">
      <c r="D25" s="2">
        <v>23</v>
      </c>
      <c r="E25" s="2">
        <v>270</v>
      </c>
      <c r="F25" s="2">
        <f>1.85+F24</f>
        <v>99.639999999999986</v>
      </c>
      <c r="G25" s="2">
        <v>0</v>
      </c>
      <c r="H25" s="2">
        <f t="shared" si="0"/>
        <v>1.8499999999999943</v>
      </c>
      <c r="I25" s="2">
        <v>2</v>
      </c>
      <c r="J25" s="2">
        <v>4</v>
      </c>
    </row>
    <row r="26" spans="4:16" x14ac:dyDescent="0.3">
      <c r="D26" s="2">
        <v>24</v>
      </c>
      <c r="E26" s="2">
        <v>270</v>
      </c>
      <c r="F26" s="2">
        <f t="shared" ref="F26:F31" si="3">1.85+F25</f>
        <v>101.48999999999998</v>
      </c>
      <c r="G26" s="2">
        <v>0</v>
      </c>
      <c r="H26" s="2">
        <f t="shared" ref="H26:H31" si="4">SQRT((E27-E26)^2+(F27-F26)^2+(G27-G26)^2)</f>
        <v>1.8499999999999943</v>
      </c>
      <c r="I26" s="2">
        <v>2</v>
      </c>
      <c r="J26" s="2">
        <v>4</v>
      </c>
    </row>
    <row r="27" spans="4:16" x14ac:dyDescent="0.3">
      <c r="D27" s="2">
        <v>25</v>
      </c>
      <c r="E27" s="2">
        <v>270</v>
      </c>
      <c r="F27" s="2">
        <f t="shared" si="3"/>
        <v>103.33999999999997</v>
      </c>
      <c r="G27" s="2">
        <v>0</v>
      </c>
      <c r="H27" s="2">
        <f t="shared" si="4"/>
        <v>1.8499999999999943</v>
      </c>
      <c r="I27" s="2">
        <v>2</v>
      </c>
      <c r="J27" s="2">
        <v>3</v>
      </c>
    </row>
    <row r="28" spans="4:16" x14ac:dyDescent="0.3">
      <c r="D28" s="2">
        <v>26</v>
      </c>
      <c r="E28" s="2">
        <v>270</v>
      </c>
      <c r="F28" s="2">
        <f t="shared" si="3"/>
        <v>105.18999999999997</v>
      </c>
      <c r="G28" s="2">
        <v>0</v>
      </c>
      <c r="H28" s="2">
        <f t="shared" si="4"/>
        <v>1.8499999999999943</v>
      </c>
      <c r="I28" s="2">
        <v>2</v>
      </c>
      <c r="J28" s="2">
        <v>3</v>
      </c>
    </row>
    <row r="29" spans="4:16" x14ac:dyDescent="0.3">
      <c r="D29" s="2">
        <v>27</v>
      </c>
      <c r="E29" s="2">
        <v>270</v>
      </c>
      <c r="F29" s="2">
        <f t="shared" si="3"/>
        <v>107.03999999999996</v>
      </c>
      <c r="G29" s="2">
        <v>0</v>
      </c>
      <c r="H29" s="2">
        <f t="shared" si="4"/>
        <v>1.8499999999999943</v>
      </c>
      <c r="I29" s="2">
        <v>2</v>
      </c>
      <c r="J29" s="2">
        <v>2</v>
      </c>
    </row>
    <row r="30" spans="4:16" x14ac:dyDescent="0.3">
      <c r="D30" s="2">
        <v>28</v>
      </c>
      <c r="E30" s="2">
        <v>270</v>
      </c>
      <c r="F30" s="2">
        <f t="shared" si="3"/>
        <v>108.88999999999996</v>
      </c>
      <c r="G30" s="2">
        <v>0</v>
      </c>
      <c r="H30" s="2">
        <f t="shared" si="4"/>
        <v>1.8499999999999943</v>
      </c>
      <c r="I30" s="2">
        <v>2</v>
      </c>
      <c r="J30" s="2">
        <v>2</v>
      </c>
    </row>
    <row r="31" spans="4:16" x14ac:dyDescent="0.3">
      <c r="D31" s="2">
        <v>29</v>
      </c>
      <c r="E31" s="2">
        <v>270</v>
      </c>
      <c r="F31" s="2">
        <f t="shared" si="3"/>
        <v>110.73999999999995</v>
      </c>
      <c r="G31" s="2">
        <v>0</v>
      </c>
      <c r="H31" s="2">
        <f t="shared" si="4"/>
        <v>3</v>
      </c>
      <c r="I31" s="2">
        <v>2</v>
      </c>
      <c r="J31" s="2">
        <v>2</v>
      </c>
    </row>
    <row r="32" spans="4:16" x14ac:dyDescent="0.3">
      <c r="D32" s="2">
        <v>30</v>
      </c>
      <c r="E32" s="2">
        <v>270</v>
      </c>
      <c r="F32" s="2">
        <f>F31+3</f>
        <v>113.73999999999995</v>
      </c>
      <c r="G32" s="2">
        <v>0</v>
      </c>
      <c r="H32" s="2"/>
      <c r="I32" s="2">
        <v>3</v>
      </c>
      <c r="J32" s="2">
        <v>1</v>
      </c>
    </row>
  </sheetData>
  <mergeCells count="1">
    <mergeCell ref="B5:C5"/>
  </mergeCells>
  <phoneticPr fontId="1" type="noConversion"/>
  <conditionalFormatting sqref="I3:I31">
    <cfRule type="cellIs" dxfId="26" priority="9" operator="equal">
      <formula>4</formula>
    </cfRule>
    <cfRule type="cellIs" dxfId="25" priority="10" operator="equal">
      <formula>3</formula>
    </cfRule>
    <cfRule type="cellIs" dxfId="24" priority="11" operator="equal">
      <formula>2</formula>
    </cfRule>
    <cfRule type="cellIs" dxfId="23" priority="12" operator="equal">
      <formula>1</formula>
    </cfRule>
  </conditionalFormatting>
  <conditionalFormatting sqref="I32">
    <cfRule type="cellIs" dxfId="22" priority="5" operator="equal">
      <formula>4</formula>
    </cfRule>
    <cfRule type="cellIs" dxfId="21" priority="6" operator="equal">
      <formula>3</formula>
    </cfRule>
    <cfRule type="cellIs" dxfId="20" priority="7" operator="equal">
      <formula>2</formula>
    </cfRule>
    <cfRule type="cellIs" dxfId="19" priority="8" operator="equal">
      <formula>1</formula>
    </cfRule>
  </conditionalFormatting>
  <conditionalFormatting sqref="C6:C9">
    <cfRule type="cellIs" dxfId="18" priority="1" operator="equal">
      <formula>4</formula>
    </cfRule>
    <cfRule type="cellIs" dxfId="17" priority="2" operator="equal">
      <formula>3</formula>
    </cfRule>
    <cfRule type="cellIs" dxfId="16" priority="3" operator="equal">
      <formula>2</formula>
    </cfRule>
    <cfRule type="cellIs" dxfId="15" priority="4" operator="equal">
      <formula>1</formula>
    </cfRule>
  </conditionalFormatting>
  <dataValidations count="1">
    <dataValidation type="list" allowBlank="1" showInputMessage="1" showErrorMessage="1" sqref="J3:J32">
      <formula1>$P$4:$P$19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2:S42"/>
  <sheetViews>
    <sheetView zoomScale="130" zoomScaleNormal="130" workbookViewId="0">
      <selection activeCell="O6" sqref="O6"/>
    </sheetView>
  </sheetViews>
  <sheetFormatPr defaultRowHeight="16.5" x14ac:dyDescent="0.3"/>
  <cols>
    <col min="4" max="4" width="9.7109375" bestFit="1" customWidth="1"/>
    <col min="5" max="9" width="12.42578125" customWidth="1"/>
    <col min="10" max="11" width="13.7109375" customWidth="1"/>
  </cols>
  <sheetData>
    <row r="2" spans="2:11" x14ac:dyDescent="0.3">
      <c r="B2" s="14" t="s">
        <v>70</v>
      </c>
      <c r="C2" s="15" t="s">
        <v>53</v>
      </c>
      <c r="D2" s="15" t="s">
        <v>71</v>
      </c>
      <c r="E2" s="15" t="s">
        <v>72</v>
      </c>
      <c r="F2" s="15" t="s">
        <v>73</v>
      </c>
      <c r="G2" s="15" t="s">
        <v>74</v>
      </c>
      <c r="H2" s="15" t="s">
        <v>144</v>
      </c>
      <c r="I2" s="15" t="s">
        <v>145</v>
      </c>
      <c r="J2" s="15" t="s">
        <v>75</v>
      </c>
      <c r="K2" s="16" t="s">
        <v>76</v>
      </c>
    </row>
    <row r="3" spans="2:11" x14ac:dyDescent="0.3">
      <c r="B3" s="7">
        <v>1</v>
      </c>
      <c r="C3" s="3" t="s">
        <v>31</v>
      </c>
      <c r="D3" s="33">
        <v>81.995911000000007</v>
      </c>
      <c r="E3" s="33">
        <v>619.29695500000003</v>
      </c>
      <c r="F3" s="33">
        <v>475.81552599999998</v>
      </c>
      <c r="G3" s="33">
        <v>1017.869692</v>
      </c>
      <c r="H3" s="33">
        <v>8.8000000000000007</v>
      </c>
      <c r="I3" s="33">
        <v>10</v>
      </c>
      <c r="J3" s="33">
        <v>0</v>
      </c>
      <c r="K3" s="34">
        <v>213.956918</v>
      </c>
    </row>
    <row r="4" spans="2:11" x14ac:dyDescent="0.3">
      <c r="B4" s="7">
        <v>2</v>
      </c>
      <c r="C4" s="3" t="s">
        <v>32</v>
      </c>
      <c r="D4" s="33">
        <v>46.381599999999999</v>
      </c>
      <c r="E4" s="33">
        <v>627.77555600000005</v>
      </c>
      <c r="F4" s="33">
        <v>373.33094999999997</v>
      </c>
      <c r="G4" s="33">
        <v>846.95108500000003</v>
      </c>
      <c r="H4" s="33">
        <v>8.8000000000000007</v>
      </c>
      <c r="I4" s="33">
        <v>10.73</v>
      </c>
      <c r="J4" s="33">
        <v>0</v>
      </c>
      <c r="K4" s="34">
        <v>189.627644</v>
      </c>
    </row>
    <row r="5" spans="2:11" x14ac:dyDescent="0.3">
      <c r="B5" s="7">
        <v>3</v>
      </c>
      <c r="C5" s="2" t="s">
        <v>33</v>
      </c>
      <c r="D5" s="33">
        <v>49.911338000000001</v>
      </c>
      <c r="E5" s="33">
        <v>623.38048100000003</v>
      </c>
      <c r="F5" s="33">
        <v>431.22762399999999</v>
      </c>
      <c r="G5" s="33">
        <v>943.37120000000004</v>
      </c>
      <c r="H5" s="33">
        <v>8.8000000000000007</v>
      </c>
      <c r="I5" s="33">
        <v>10.83</v>
      </c>
      <c r="J5" s="33">
        <v>0</v>
      </c>
      <c r="K5" s="34">
        <v>161.12805499999999</v>
      </c>
    </row>
    <row r="6" spans="2:11" x14ac:dyDescent="0.3">
      <c r="B6" s="7">
        <v>4</v>
      </c>
      <c r="C6" s="2" t="s">
        <v>34</v>
      </c>
      <c r="D6" s="33">
        <v>49.916339000000001</v>
      </c>
      <c r="E6" s="33">
        <v>623.388464</v>
      </c>
      <c r="F6" s="33">
        <v>431.22785499999998</v>
      </c>
      <c r="G6" s="33">
        <v>943.33605999999997</v>
      </c>
      <c r="H6" s="33">
        <v>8.8000000000000007</v>
      </c>
      <c r="I6" s="33">
        <v>10.83</v>
      </c>
      <c r="J6" s="33">
        <v>0</v>
      </c>
      <c r="K6" s="34">
        <v>134.94638</v>
      </c>
    </row>
    <row r="7" spans="2:11" x14ac:dyDescent="0.3">
      <c r="B7" s="7">
        <v>5</v>
      </c>
      <c r="C7" s="2" t="s">
        <v>35</v>
      </c>
      <c r="D7" s="33">
        <v>55.645986000000001</v>
      </c>
      <c r="E7" s="33">
        <v>710.28461500000003</v>
      </c>
      <c r="F7" s="33">
        <v>453.25999899999999</v>
      </c>
      <c r="G7" s="33">
        <v>1030.6450239999999</v>
      </c>
      <c r="H7" s="33">
        <v>8.8000000000000007</v>
      </c>
      <c r="I7" s="33">
        <v>11.02</v>
      </c>
      <c r="J7" s="33">
        <v>0</v>
      </c>
      <c r="K7" s="34">
        <v>110.997529</v>
      </c>
    </row>
    <row r="8" spans="2:11" x14ac:dyDescent="0.3">
      <c r="B8" s="7">
        <v>6</v>
      </c>
      <c r="C8" s="2" t="s">
        <v>36</v>
      </c>
      <c r="D8" s="33">
        <v>55.640253000000001</v>
      </c>
      <c r="E8" s="33">
        <v>710.23348799999997</v>
      </c>
      <c r="F8" s="33">
        <v>453.18626399999999</v>
      </c>
      <c r="G8" s="33">
        <v>1030.514062</v>
      </c>
      <c r="H8" s="33">
        <v>8.8000000000000007</v>
      </c>
      <c r="I8" s="33">
        <v>11.02</v>
      </c>
      <c r="J8" s="33">
        <v>0</v>
      </c>
      <c r="K8" s="34">
        <v>92.130851000000007</v>
      </c>
    </row>
    <row r="9" spans="2:11" x14ac:dyDescent="0.3">
      <c r="B9" s="7">
        <v>7</v>
      </c>
      <c r="C9" s="2" t="s">
        <v>37</v>
      </c>
      <c r="D9" s="33">
        <v>48.108324000000003</v>
      </c>
      <c r="E9" s="33">
        <v>660.98047899999995</v>
      </c>
      <c r="F9" s="33">
        <v>413.77211599999998</v>
      </c>
      <c r="G9" s="33">
        <v>944.04863399999999</v>
      </c>
      <c r="H9" s="33">
        <v>8.8000000000000007</v>
      </c>
      <c r="I9" s="33">
        <v>11.07</v>
      </c>
      <c r="J9" s="33">
        <v>0</v>
      </c>
      <c r="K9" s="34">
        <v>70.601648999999995</v>
      </c>
    </row>
    <row r="10" spans="2:11" x14ac:dyDescent="0.3">
      <c r="B10" s="7">
        <v>8</v>
      </c>
      <c r="C10" s="2" t="s">
        <v>38</v>
      </c>
      <c r="D10" s="33">
        <v>48.639200000000002</v>
      </c>
      <c r="E10" s="33">
        <v>692.14760999999999</v>
      </c>
      <c r="F10" s="33">
        <v>421.10367600000001</v>
      </c>
      <c r="G10" s="33">
        <v>970.55342299999995</v>
      </c>
      <c r="H10" s="33">
        <v>8.8000000000000007</v>
      </c>
      <c r="I10" s="33">
        <v>11.26</v>
      </c>
      <c r="J10" s="33">
        <v>0</v>
      </c>
      <c r="K10" s="34">
        <v>48.935845</v>
      </c>
    </row>
    <row r="11" spans="2:11" x14ac:dyDescent="0.3">
      <c r="B11" s="7">
        <v>9</v>
      </c>
      <c r="C11" s="2" t="s">
        <v>39</v>
      </c>
      <c r="D11" s="33">
        <v>53.967599999999997</v>
      </c>
      <c r="E11" s="33">
        <v>1054.6057049999999</v>
      </c>
      <c r="F11" s="33">
        <v>494.91977700000001</v>
      </c>
      <c r="G11" s="33">
        <v>1241.0660419999999</v>
      </c>
      <c r="H11" s="33">
        <v>8.8000000000000007</v>
      </c>
      <c r="I11" s="33">
        <v>13.17</v>
      </c>
      <c r="J11" s="33">
        <v>0</v>
      </c>
      <c r="K11" s="34">
        <v>26.145644999999998</v>
      </c>
    </row>
    <row r="12" spans="2:11" x14ac:dyDescent="0.3">
      <c r="B12" s="7">
        <v>10</v>
      </c>
      <c r="C12" s="2" t="s">
        <v>40</v>
      </c>
      <c r="D12" s="33">
        <v>79.5</v>
      </c>
      <c r="E12" s="33">
        <v>1522.1369999999999</v>
      </c>
      <c r="F12" s="33">
        <v>626.77862500000003</v>
      </c>
      <c r="G12" s="33">
        <v>1640.3444629999999</v>
      </c>
      <c r="H12" s="33">
        <v>8.8000000000000007</v>
      </c>
      <c r="I12" s="33">
        <v>13.8</v>
      </c>
      <c r="J12" s="33">
        <v>0</v>
      </c>
      <c r="K12" s="34">
        <v>0</v>
      </c>
    </row>
    <row r="13" spans="2:11" x14ac:dyDescent="0.3">
      <c r="B13" s="7">
        <v>11</v>
      </c>
      <c r="C13" s="2" t="s">
        <v>41</v>
      </c>
      <c r="D13" s="33">
        <v>53.302399999999999</v>
      </c>
      <c r="E13" s="33">
        <v>1485.100788</v>
      </c>
      <c r="F13" s="33">
        <v>999.96940700000005</v>
      </c>
      <c r="G13" s="33">
        <v>2174.2573550000002</v>
      </c>
      <c r="H13" s="33">
        <v>11.5</v>
      </c>
      <c r="I13" s="33">
        <v>16</v>
      </c>
      <c r="J13" s="33">
        <v>57.033127</v>
      </c>
      <c r="K13" s="34">
        <v>213.956918</v>
      </c>
    </row>
    <row r="14" spans="2:11" x14ac:dyDescent="0.3">
      <c r="B14" s="7">
        <v>12</v>
      </c>
      <c r="C14" s="2" t="s">
        <v>42</v>
      </c>
      <c r="D14" s="33">
        <v>94.368799999999993</v>
      </c>
      <c r="E14" s="33">
        <v>2572.024617</v>
      </c>
      <c r="F14" s="33">
        <v>1387.094711</v>
      </c>
      <c r="G14" s="33">
        <v>3382.4136680000001</v>
      </c>
      <c r="H14" s="33">
        <v>11.5</v>
      </c>
      <c r="I14" s="33">
        <v>16</v>
      </c>
      <c r="J14" s="33">
        <v>57.033127</v>
      </c>
      <c r="K14" s="34">
        <v>189.627644</v>
      </c>
    </row>
    <row r="15" spans="2:11" x14ac:dyDescent="0.3">
      <c r="B15" s="7">
        <v>13</v>
      </c>
      <c r="C15" s="2" t="s">
        <v>43</v>
      </c>
      <c r="D15" s="33">
        <v>76.708799999999997</v>
      </c>
      <c r="E15" s="33">
        <v>2327.7603549999999</v>
      </c>
      <c r="F15" s="33">
        <v>1268.600027</v>
      </c>
      <c r="G15" s="33">
        <v>3062.7619629999999</v>
      </c>
      <c r="H15" s="33">
        <v>11.75</v>
      </c>
      <c r="I15" s="33">
        <v>16.2</v>
      </c>
      <c r="J15" s="33">
        <v>57.033127</v>
      </c>
      <c r="K15" s="34">
        <v>161.12805499999999</v>
      </c>
    </row>
    <row r="16" spans="2:11" x14ac:dyDescent="0.3">
      <c r="B16" s="7">
        <v>14</v>
      </c>
      <c r="C16" s="2" t="s">
        <v>44</v>
      </c>
      <c r="D16" s="33">
        <v>109.047113</v>
      </c>
      <c r="E16" s="33">
        <v>3283.9627989999999</v>
      </c>
      <c r="F16" s="33">
        <v>2096.0589749999999</v>
      </c>
      <c r="G16" s="33">
        <v>4486.2489139999998</v>
      </c>
      <c r="H16" s="33">
        <v>13.25</v>
      </c>
      <c r="I16" s="33">
        <v>17.399999999999999</v>
      </c>
      <c r="J16" s="33">
        <v>57.033127</v>
      </c>
      <c r="K16" s="34">
        <v>110.997529</v>
      </c>
    </row>
    <row r="17" spans="2:19" x14ac:dyDescent="0.3">
      <c r="B17" s="7">
        <v>15</v>
      </c>
      <c r="C17" s="2" t="s">
        <v>45</v>
      </c>
      <c r="D17" s="33">
        <v>132.09388899999999</v>
      </c>
      <c r="E17" s="33">
        <v>4023.8017180000002</v>
      </c>
      <c r="F17" s="33">
        <v>2548.4995389999999</v>
      </c>
      <c r="G17" s="33">
        <v>5563.8037160000003</v>
      </c>
      <c r="H17" s="33">
        <v>13.5</v>
      </c>
      <c r="I17" s="33">
        <v>17.600000000000001</v>
      </c>
      <c r="J17" s="33">
        <v>57.033127</v>
      </c>
      <c r="K17" s="34">
        <v>70.601648999999995</v>
      </c>
    </row>
    <row r="18" spans="2:19" x14ac:dyDescent="0.3">
      <c r="B18" s="7">
        <v>16</v>
      </c>
      <c r="C18" s="2" t="s">
        <v>46</v>
      </c>
      <c r="D18" s="33">
        <v>239.55840000000001</v>
      </c>
      <c r="E18" s="33">
        <v>5994.0219800000004</v>
      </c>
      <c r="F18" s="33">
        <v>3622.09834</v>
      </c>
      <c r="G18" s="33">
        <v>8379.3659349999998</v>
      </c>
      <c r="H18" s="33">
        <v>14</v>
      </c>
      <c r="I18" s="33">
        <v>18</v>
      </c>
      <c r="J18" s="33">
        <v>57.033127</v>
      </c>
      <c r="K18" s="34">
        <v>0</v>
      </c>
    </row>
    <row r="19" spans="2:19" x14ac:dyDescent="0.3">
      <c r="B19" s="7">
        <v>17</v>
      </c>
      <c r="C19" s="2" t="s">
        <v>68</v>
      </c>
      <c r="D19" s="33">
        <v>1.1953879999999999</v>
      </c>
      <c r="E19" s="33">
        <v>2.9868649999999999</v>
      </c>
      <c r="F19" s="33">
        <v>62.839647999999997</v>
      </c>
      <c r="G19" s="33">
        <v>8.1234749999999991</v>
      </c>
      <c r="H19" s="33">
        <v>22.95</v>
      </c>
      <c r="I19" s="33">
        <v>4</v>
      </c>
      <c r="J19" s="33">
        <v>0.70075299999999996</v>
      </c>
      <c r="K19" s="34">
        <v>-0.25129699999999999</v>
      </c>
    </row>
    <row r="20" spans="2:19" x14ac:dyDescent="0.3">
      <c r="B20" s="11">
        <v>18</v>
      </c>
      <c r="C20" s="17" t="s">
        <v>69</v>
      </c>
      <c r="D20" s="35">
        <v>0.32704</v>
      </c>
      <c r="E20" s="35">
        <v>0.83645499999999995</v>
      </c>
      <c r="F20" s="35">
        <v>0.48767500000000003</v>
      </c>
      <c r="G20" s="35">
        <v>0.73870199999999997</v>
      </c>
      <c r="H20" s="35">
        <v>4.04</v>
      </c>
      <c r="I20" s="35">
        <v>3.1</v>
      </c>
      <c r="J20" s="35">
        <v>16.150766999999998</v>
      </c>
      <c r="K20" s="36">
        <v>-0.57552700000000001</v>
      </c>
    </row>
    <row r="23" spans="2:19" x14ac:dyDescent="0.3">
      <c r="B23" s="46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</row>
    <row r="24" spans="2:19" x14ac:dyDescent="0.3">
      <c r="B24" s="46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</row>
    <row r="25" spans="2:19" x14ac:dyDescent="0.3">
      <c r="B25" s="46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</row>
    <row r="26" spans="2:19" x14ac:dyDescent="0.3">
      <c r="B26" s="46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</row>
    <row r="27" spans="2:19" x14ac:dyDescent="0.3">
      <c r="B27" s="46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</row>
    <row r="28" spans="2:19" x14ac:dyDescent="0.3">
      <c r="B28" s="46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</row>
    <row r="29" spans="2:19" x14ac:dyDescent="0.3">
      <c r="B29" s="46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</row>
    <row r="30" spans="2:19" x14ac:dyDescent="0.3">
      <c r="D30" s="32"/>
      <c r="E30" s="32"/>
      <c r="F30" s="32"/>
      <c r="G30" s="32"/>
      <c r="H30" s="32"/>
      <c r="I30" s="32"/>
      <c r="J30" s="32"/>
      <c r="K30" s="32"/>
    </row>
    <row r="31" spans="2:19" x14ac:dyDescent="0.3">
      <c r="D31" s="32"/>
      <c r="E31" s="32"/>
      <c r="F31" s="32"/>
      <c r="G31" s="32"/>
      <c r="H31" s="32"/>
      <c r="I31" s="32"/>
      <c r="J31" s="32"/>
      <c r="K31" s="32"/>
    </row>
    <row r="32" spans="2:19" x14ac:dyDescent="0.3">
      <c r="D32" s="32"/>
      <c r="E32" s="32"/>
      <c r="F32" s="32"/>
      <c r="G32" s="32"/>
      <c r="H32" s="32"/>
      <c r="I32" s="32"/>
      <c r="J32" s="32"/>
      <c r="K32" s="32"/>
    </row>
    <row r="33" spans="4:11" x14ac:dyDescent="0.3">
      <c r="D33" s="32"/>
      <c r="E33" s="32"/>
      <c r="F33" s="32"/>
      <c r="G33" s="32"/>
      <c r="H33" s="32"/>
      <c r="I33" s="32"/>
      <c r="J33" s="32"/>
      <c r="K33" s="32"/>
    </row>
    <row r="34" spans="4:11" x14ac:dyDescent="0.3">
      <c r="D34" s="32"/>
      <c r="E34" s="32"/>
      <c r="F34" s="32"/>
      <c r="G34" s="32"/>
      <c r="H34" s="32"/>
      <c r="I34" s="32"/>
      <c r="J34" s="32"/>
      <c r="K34" s="32"/>
    </row>
    <row r="35" spans="4:11" x14ac:dyDescent="0.3">
      <c r="D35" s="32"/>
      <c r="E35" s="32"/>
      <c r="F35" s="32"/>
      <c r="G35" s="32"/>
      <c r="H35" s="32"/>
      <c r="I35" s="32"/>
      <c r="J35" s="32"/>
      <c r="K35" s="32"/>
    </row>
    <row r="36" spans="4:11" x14ac:dyDescent="0.3">
      <c r="D36" s="32"/>
      <c r="E36" s="32"/>
      <c r="F36" s="32"/>
      <c r="G36" s="32"/>
      <c r="H36" s="32"/>
      <c r="I36" s="32"/>
      <c r="J36" s="32"/>
      <c r="K36" s="32"/>
    </row>
    <row r="37" spans="4:11" x14ac:dyDescent="0.3">
      <c r="D37" s="32"/>
      <c r="E37" s="32"/>
      <c r="F37" s="32"/>
      <c r="G37" s="32"/>
      <c r="H37" s="32"/>
      <c r="I37" s="32"/>
      <c r="J37" s="32"/>
      <c r="K37" s="32"/>
    </row>
    <row r="38" spans="4:11" x14ac:dyDescent="0.3">
      <c r="D38" s="32"/>
      <c r="E38" s="32"/>
      <c r="F38" s="32"/>
      <c r="G38" s="32"/>
      <c r="H38" s="32"/>
      <c r="I38" s="32"/>
      <c r="J38" s="32"/>
      <c r="K38" s="32"/>
    </row>
    <row r="39" spans="4:11" x14ac:dyDescent="0.3">
      <c r="D39" s="32"/>
      <c r="E39" s="32"/>
      <c r="F39" s="32"/>
      <c r="G39" s="32"/>
      <c r="H39" s="32"/>
      <c r="I39" s="32"/>
      <c r="J39" s="32"/>
      <c r="K39" s="32"/>
    </row>
    <row r="40" spans="4:11" x14ac:dyDescent="0.3">
      <c r="D40" s="32"/>
      <c r="E40" s="32"/>
      <c r="F40" s="32"/>
      <c r="G40" s="32"/>
      <c r="H40" s="32"/>
      <c r="I40" s="32"/>
      <c r="J40" s="32"/>
      <c r="K40" s="32"/>
    </row>
    <row r="41" spans="4:11" x14ac:dyDescent="0.3">
      <c r="D41" s="32"/>
      <c r="E41" s="32"/>
      <c r="F41" s="32"/>
      <c r="G41" s="32"/>
      <c r="H41" s="32"/>
      <c r="I41" s="32"/>
      <c r="J41" s="32"/>
      <c r="K41" s="32"/>
    </row>
    <row r="42" spans="4:11" x14ac:dyDescent="0.3">
      <c r="D42" s="32"/>
      <c r="E42" s="32"/>
      <c r="F42" s="32"/>
      <c r="G42" s="32"/>
      <c r="H42" s="32"/>
      <c r="I42" s="32"/>
      <c r="J42" s="32"/>
      <c r="K42" s="32"/>
    </row>
  </sheetData>
  <mergeCells count="1">
    <mergeCell ref="B23:S29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目录</vt:lpstr>
      <vt:lpstr>主梁截面统计</vt:lpstr>
      <vt:lpstr>桥塔截面统计</vt:lpstr>
      <vt:lpstr>斜拉锁截面统计</vt:lpstr>
      <vt:lpstr>主梁坐标</vt:lpstr>
      <vt:lpstr>主塔坐标</vt:lpstr>
      <vt:lpstr>主要截面特性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2016-12-13T11:54:15Z</dcterms:modified>
</cp:coreProperties>
</file>